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d2834f07c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or Targets" sheetId="1" r:id="R13a2cf73de3e466d"/>
    <x:sheet xmlns:r="http://schemas.openxmlformats.org/officeDocument/2006/relationships" name="Activity Levels" sheetId="2" r:id="Rb2aeac092c6f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 &quot;hours&quot;"/>
    <x:numFmt numFmtId="202" formatCode="0 &quot;days&quot;"/>
  </x:numFmts>
  <x:fonts count="8">
    <x:font>
      <x:sz val="11"/>
      <x:name val="Carlito"/>
    </x:font>
    <x:font>
      <x:b/>
      <x:sz val="16"/>
      <x:color rgb="FFF7D878"/>
      <x:name val="Arial"/>
    </x:font>
    <x:font>
      <x:i/>
      <x:sz val="10"/>
      <x:color rgb="FFF4E9C5"/>
      <x:name val="Arial"/>
    </x:font>
    <x:font>
      <x:b/>
      <x:sz val="10"/>
      <x:color rgb="FFFFFFFF"/>
      <x:name val="Arial"/>
    </x:font>
    <x:font>
      <x:sz val="10"/>
      <x:color rgb="FF1E1A12"/>
      <x:name val="Arial"/>
    </x:font>
    <x:font>
      <x:b/>
      <x:sz val="10"/>
      <x:color rgb="FF332606"/>
      <x:name val="Arial"/>
    </x:font>
    <x:font>
      <x:b/>
      <x:sz val="10"/>
      <x:color rgb="FF34411E"/>
      <x:name val="Arial"/>
    </x:font>
    <x:font>
      <x:b/>
      <x:sz val="14"/>
      <x:color rgb="FFF7D8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5120B"/>
      </x:patternFill>
    </x:fill>
    <x:fill>
      <x:patternFill patternType="solid">
        <x:fgColor rgb="FF2C2414"/>
      </x:patternFill>
    </x:fill>
    <x:fill>
      <x:patternFill patternType="solid">
        <x:fgColor rgb="FFFFFDF8"/>
      </x:patternFill>
    </x:fill>
    <x:fill>
      <x:patternFill patternType="solid">
        <x:fgColor rgb="FFFFF2C7"/>
      </x:patternFill>
    </x:fill>
    <x:fill>
      <x:patternFill patternType="solid">
        <x:fgColor rgb="FFF1F5E8"/>
      </x:patternFill>
    </x:fill>
  </x:fills>
  <x:borders count="18">
    <x:border/>
    <x:border>
      <x:left style="thin">
        <x:color rgb="FFD7B55A"/>
      </x:left>
      <x:top style="thin">
        <x:color rgb="FFD7B55A"/>
      </x:top>
      <x:bottom style="thin">
        <x:color rgb="FFD7B55A"/>
      </x:bottom>
    </x:border>
    <x:border>
      <x:top style="thin">
        <x:color rgb="FFD7B55A"/>
      </x:top>
      <x:bottom style="thin">
        <x:color rgb="FFD7B55A"/>
      </x:bottom>
    </x:border>
    <x:border>
      <x:right style="thin">
        <x:color rgb="FFD7B55A"/>
      </x:right>
      <x:top style="thin">
        <x:color rgb="FFD7B55A"/>
      </x:top>
      <x:bottom style="thin">
        <x:color rgb="FFD7B55A"/>
      </x:bottom>
    </x:border>
    <x:border>
      <x:bottom style="thin">
        <x:color rgb="FFE9E1CA"/>
      </x:bottom>
    </x:border>
    <x:border>
      <x:top style="thin">
        <x:color rgb="FFE9E1CA"/>
      </x:top>
      <x:bottom style="thin">
        <x:color rgb="FFE9E1CA"/>
      </x:bottom>
    </x:border>
    <x:border>
      <x:left style="thin">
        <x:color rgb="FFC9B676"/>
      </x:left>
      <x:top style="thin">
        <x:color rgb="FFC9B676"/>
      </x:top>
      <x:bottom style="thin">
        <x:color rgb="FFD7B55A"/>
      </x:bottom>
    </x:border>
    <x:border>
      <x:top style="thin">
        <x:color rgb="FFC9B676"/>
      </x:top>
      <x:bottom style="thin">
        <x:color rgb="FFD7B55A"/>
      </x:bottom>
    </x:border>
    <x:border>
      <x:right style="thin">
        <x:color rgb="FFC9B676"/>
      </x:right>
      <x:top style="thin">
        <x:color rgb="FFC9B676"/>
      </x:top>
      <x:bottom style="thin">
        <x:color rgb="FFD7B55A"/>
      </x:bottom>
    </x:border>
    <x:border>
      <x:left style="thin">
        <x:color rgb="FFC9B676"/>
      </x:left>
      <x:bottom style="thin">
        <x:color rgb="FFE9E1CA"/>
      </x:bottom>
    </x:border>
    <x:border>
      <x:right style="thin">
        <x:color rgb="FFC9B676"/>
      </x:right>
      <x:bottom style="thin">
        <x:color rgb="FFE9E1CA"/>
      </x:bottom>
    </x:border>
    <x:border>
      <x:left style="thin">
        <x:color rgb="FFC9B676"/>
      </x:left>
      <x:top style="thin">
        <x:color rgb="FFE9E1CA"/>
      </x:top>
      <x:bottom style="thin">
        <x:color rgb="FFE9E1CA"/>
      </x:bottom>
    </x:border>
    <x:border>
      <x:right style="thin">
        <x:color rgb="FFC9B676"/>
      </x:right>
      <x:top style="thin">
        <x:color rgb="FFE9E1CA"/>
      </x:top>
      <x:bottom style="thin">
        <x:color rgb="FFE9E1CA"/>
      </x:bottom>
    </x:border>
    <x:border>
      <x:left style="thin">
        <x:color rgb="FFC9B676"/>
      </x:left>
      <x:top style="thin">
        <x:color rgb="FFE9E1CA"/>
      </x:top>
      <x:bottom style="thin">
        <x:color rgb="FFC9B676"/>
      </x:bottom>
    </x:border>
    <x:border>
      <x:top style="thin">
        <x:color rgb="FFE9E1CA"/>
      </x:top>
      <x:bottom style="thin">
        <x:color rgb="FFC9B676"/>
      </x:bottom>
    </x:border>
    <x:border>
      <x:right style="thin">
        <x:color rgb="FFC9B676"/>
      </x:right>
      <x:top style="thin">
        <x:color rgb="FFE9E1CA"/>
      </x:top>
      <x:bottom style="thin">
        <x:color rgb="FFC9B676"/>
      </x:bottom>
    </x:border>
    <x:border>
      <x:left style="thin">
        <x:color rgb="FFD7B55A"/>
      </x:left>
      <x:right style="thin">
        <x:color rgb="FFD7B55A"/>
      </x:right>
      <x:top style="thin">
        <x:color rgb="FFD7B55A"/>
      </x:top>
      <x:bottom style="thin">
        <x:color rgb="FFD7B55A"/>
      </x:bottom>
    </x:border>
    <x:border>
      <x:left style="thin">
        <x:color rgb="FFE2D5B1"/>
      </x:left>
      <x:right style="thin">
        <x:color rgb="FFE2D5B1"/>
      </x:right>
      <x:top style="thin">
        <x:color rgb="FFE2D5B1"/>
      </x:top>
      <x:bottom style="thin">
        <x:color rgb="FFE2D5B1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2" fontId="4" fillId="4" borderId="4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0" fontId="5" fillId="5" borderId="4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201" fontId="6" fillId="6" borderId="4" xfId="0" applyNumberFormat="1" applyFont="1" applyFill="1" applyBorder="1" applyAlignment="1">
      <x:alignment vertical="center"/>
    </x:xf>
    <x:xf numFmtId="201" fontId="6" fillId="6" borderId="5" xfId="0" applyNumberFormat="1" applyFont="1" applyFill="1" applyBorder="1" applyAlignment="1">
      <x:alignment vertical="center"/>
    </x:xf>
    <x:xf numFmtId="202" fontId="6" fillId="6" borderId="4" xfId="0" applyNumberFormat="1" applyFont="1" applyFill="1" applyBorder="1" applyAlignment="1">
      <x:alignment vertical="center"/>
    </x:xf>
    <x:xf numFmtId="202" fontId="6" fillId="6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vertical="center"/>
    </x:xf>
    <x:xf numFmtId="202" fontId="6" fillId="6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202" fontId="6" fillId="6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/>
    </x:xf>
    <x:xf numFmtId="0" fontId="4" fillId="4" borderId="14" xfId="0" applyNumberFormat="1" applyFont="1" applyFill="1" applyBorder="1" applyAlignment="1">
      <x:alignment vertical="center"/>
    </x:xf>
    <x:xf numFmtId="200" fontId="4" fillId="4" borderId="14" xfId="0" applyNumberFormat="1" applyFont="1" applyFill="1" applyBorder="1" applyAlignment="1">
      <x:alignment vertical="center"/>
    </x:xf>
    <x:xf numFmtId="201" fontId="4" fillId="4" borderId="14" xfId="0" applyNumberFormat="1" applyFont="1" applyFill="1" applyBorder="1" applyAlignment="1">
      <x:alignment vertical="center"/>
    </x:xf>
    <x:xf numFmtId="202" fontId="4" fillId="4" borderId="14" xfId="0" applyNumberFormat="1" applyFont="1" applyFill="1" applyBorder="1" applyAlignment="1">
      <x:alignment vertical="center"/>
    </x:xf>
    <x:xf numFmtId="200" fontId="5" fillId="5" borderId="14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/>
    </x:xf>
    <x:xf numFmtId="201" fontId="6" fillId="6" borderId="14" xfId="0" applyNumberFormat="1" applyFont="1" applyFill="1" applyBorder="1" applyAlignment="1">
      <x:alignment vertical="center"/>
    </x:xf>
    <x:xf numFmtId="202" fontId="6" fillId="6" borderId="15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3" borderId="16" xfId="0" applyNumberFormat="1" applyFont="1" applyFill="1" applyBorder="1"/>
    <x:xf numFmtId="0" fontId="3" fillId="3" borderId="16" xfId="0" applyNumberFormat="1" applyFont="1" applyFill="1" applyBorder="1" applyAlignment="1">
      <x:alignment horizontal="center"/>
    </x:xf>
    <x:xf numFmtId="0" fontId="3" fillId="3" borderId="1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7" xfId="0" applyNumberFormat="1" applyFont="1" applyFill="1" applyBorder="1"/>
    <x:xf numFmtId="0" fontId="4" fillId="4" borderId="17" xfId="0" applyNumberFormat="1" applyFont="1" applyFill="1" applyBorder="1" applyAlignment="1">
      <x:alignment horizontal="center"/>
    </x:xf>
    <x:xf numFmtId="0" fontId="4" fillId="4" borderId="17" xfId="0" applyNumberFormat="1" applyFont="1" applyFill="1" applyBorder="1" applyAlignment="1">
      <x:alignment horizontal="center" vertical="center"/>
    </x:xf>
    <x:xf numFmtId="201" fontId="4" fillId="4" borderId="17" xfId="0" applyNumberFormat="1" applyFont="1" applyFill="1" applyBorder="1" applyAlignment="1">
      <x:alignment horizontal="center" vertical="center"/>
    </x:xf>
    <x:xf numFmtId="202" fontId="4" fillId="4" borderId="1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3bcb378834b4a" /><Relationship Type="http://schemas.openxmlformats.org/officeDocument/2006/relationships/theme" Target="/xl/theme/theme1.xml" Id="Re6abbdaf118b410a" /><Relationship Type="http://schemas.openxmlformats.org/officeDocument/2006/relationships/sharedStrings" Target="/xl/sharedStrings.xml" Id="Ra1d84caa6e9d4a5f" /><Relationship Type="http://schemas.openxmlformats.org/officeDocument/2006/relationships/worksheet" Target="/xl/worksheets/sheet1.xml" Id="R13a2cf73de3e466d" /><Relationship Type="http://schemas.openxmlformats.org/officeDocument/2006/relationships/worksheet" Target="/xl/worksheets/sheet2.xml" Id="Rb2aeac092c6f41ac" /></Relationships>
</file>

<file path=xl/tables/table1.xml><?xml version="1.0" encoding="utf-8"?>
<x:table xmlns:x="http://schemas.openxmlformats.org/spreadsheetml/2006/main" id="1" name="CreatorTargets" displayName="CreatorTargets" ref="A4:J76" headerRowCount="1" totalsRowCount="0" totalsRowShown="0">
  <x:tableColumns count="10">
    <x:tableColumn id="1" name="Creator username"/>
    <x:tableColumn id="2" name="Group"/>
    <x:tableColumn id="3" name="Manager"/>
    <x:tableColumn id="4" name="Last month diamonds"/>
    <x:tableColumn id="5" name="Last month hours"/>
    <x:tableColumn id="6" name="Last month valid days"/>
    <x:tableColumn id="7" name="Diamond target"/>
    <x:tableColumn id="8" name="Activeness level"/>
    <x:tableColumn id="9" name="Hours target"/>
    <x:tableColumn id="10" name="Valid days 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95a2291e53431c" /></Relationships>
</file>

<file path=xl/worksheets/sheet1.xml><?xml version="1.0" encoding="utf-8"?>
<x:worksheet xmlns:x="http://schemas.openxmlformats.org/spreadsheetml/2006/main">
  <x:sheetPr>
    <x:tabColor rgb="FFB8872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9" hidden="0" customWidth="1"/>
    <x:col min="3" max="3" width="3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4" t="str">
        <x:v>FIRST CLASS AGENCY — CREATOR TARGETS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7" t="str">
        <x:v>September 2026 actuals. Enter a Diamond Target and choose an Activeness Level to fill the activity targets automatically.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48" t="str">
        <x:v>Creator username</x:v>
      </x:c>
      <x:c r="B4" s="49" t="str">
        <x:v>Group</x:v>
      </x:c>
      <x:c r="C4" s="49" t="str">
        <x:v>Manager</x:v>
      </x:c>
      <x:c r="D4" s="49" t="str">
        <x:v>Last month diamonds</x:v>
      </x:c>
      <x:c r="E4" s="49" t="str">
        <x:v>Last month hours</x:v>
      </x:c>
      <x:c r="F4" s="49" t="str">
        <x:v>Last month valid days</x:v>
      </x:c>
      <x:c r="G4" s="49" t="str">
        <x:v>Diamond target</x:v>
      </x:c>
      <x:c r="H4" s="49" t="str">
        <x:v>Activeness level</x:v>
      </x:c>
      <x:c r="I4" s="49" t="str">
        <x:v>Hours target</x:v>
      </x:c>
      <x:c r="J4" s="50" t="str">
        <x:v>Valid days target</x:v>
      </x:c>
    </x:row>
    <x:row r="5" ht="20" customHeight="1">
      <x:c r="A5" s="51" t="str">
        <x:v>tkaysx</x:v>
      </x:c>
      <x:c r="B5" s="26" t="str">
        <x:v>Dan First Class</x:v>
      </x:c>
      <x:c r="C5" s="26" t="str">
        <x:v>firstclassagency_dan@outlook.com</x:v>
      </x:c>
      <x:c r="D5" s="36" t="n">
        <x:v>1662875</x:v>
      </x:c>
      <x:c r="E5" s="38" t="n">
        <x:v>331</x:v>
      </x:c>
      <x:c r="F5" s="40" t="n">
        <x:v>30</x:v>
      </x:c>
      <x:c r="G5" s="42" t="n">
        <x:v>1600000</x:v>
      </x:c>
      <x:c r="H5" s="30"/>
      <x:c r="I5" s="44" t="str">
        <x:f>IFERROR(VLOOKUP(H5,'Activity Levels'!$A$5:$C$9,2,FALSE),"")</x:f>
      </x:c>
      <x:c r="J5" s="52" t="str">
        <x:f>IFERROR(VLOOKUP(H5,'Activity Levels'!$A$5:$C$9,3,FALSE),"")</x:f>
      </x:c>
    </x:row>
    <x:row r="6" ht="20" customHeight="1">
      <x:c r="A6" s="53" t="str">
        <x:v>lukebennett170.2</x:v>
      </x:c>
      <x:c r="B6" s="27" t="str">
        <x:v>Dan First Class</x:v>
      </x:c>
      <x:c r="C6" s="27" t="str">
        <x:v>firstclassagency_dan@outlook.com</x:v>
      </x:c>
      <x:c r="D6" s="37" t="n">
        <x:v>1349823</x:v>
      </x:c>
      <x:c r="E6" s="39" t="n">
        <x:v>83</x:v>
      </x:c>
      <x:c r="F6" s="41" t="n">
        <x:v>21</x:v>
      </x:c>
      <x:c r="G6" s="43" t="n">
        <x:v>1000000</x:v>
      </x:c>
      <x:c r="H6" s="31"/>
      <x:c r="I6" s="45" t="str">
        <x:f>IFERROR(VLOOKUP(H6,'Activity Levels'!$A$5:$C$9,2,FALSE),"")</x:f>
      </x:c>
      <x:c r="J6" s="54" t="str">
        <x:f>IFERROR(VLOOKUP(H6,'Activity Levels'!$A$5:$C$9,3,FALSE),"")</x:f>
      </x:c>
    </x:row>
    <x:row r="7" ht="20" customHeight="1">
      <x:c r="A7" s="53" t="str">
        <x:v>harryjonesey</x:v>
      </x:c>
      <x:c r="B7" s="27" t="str">
        <x:v>Dan First Class</x:v>
      </x:c>
      <x:c r="C7" s="27" t="str">
        <x:v>firstclassagency_dan@outlook.com</x:v>
      </x:c>
      <x:c r="D7" s="37" t="n">
        <x:v>1295472</x:v>
      </x:c>
      <x:c r="E7" s="39" t="n">
        <x:v>200</x:v>
      </x:c>
      <x:c r="F7" s="41" t="n">
        <x:v>28</x:v>
      </x:c>
      <x:c r="G7" s="43" t="n">
        <x:v>1000000</x:v>
      </x:c>
      <x:c r="H7" s="31"/>
      <x:c r="I7" s="45" t="str">
        <x:f>IFERROR(VLOOKUP(H7,'Activity Levels'!$A$5:$C$9,2,FALSE),"")</x:f>
      </x:c>
      <x:c r="J7" s="54" t="str">
        <x:f>IFERROR(VLOOKUP(H7,'Activity Levels'!$A$5:$C$9,3,FALSE),"")</x:f>
      </x:c>
    </x:row>
    <x:row r="8" ht="20" customHeight="1">
      <x:c r="A8" s="53" t="str">
        <x:v>xomarky</x:v>
      </x:c>
      <x:c r="B8" s="27" t="str">
        <x:v>Dan First Class</x:v>
      </x:c>
      <x:c r="C8" s="27" t="str">
        <x:v>firstclassagency_dan@outlook.com</x:v>
      </x:c>
      <x:c r="D8" s="37" t="n">
        <x:v>1282611</x:v>
      </x:c>
      <x:c r="E8" s="39" t="n">
        <x:v>221</x:v>
      </x:c>
      <x:c r="F8" s="41" t="n">
        <x:v>30</x:v>
      </x:c>
      <x:c r="G8" s="43" t="n">
        <x:v>1000000</x:v>
      </x:c>
      <x:c r="H8" s="31"/>
      <x:c r="I8" s="45" t="str">
        <x:f>IFERROR(VLOOKUP(H8,'Activity Levels'!$A$5:$C$9,2,FALSE),"")</x:f>
      </x:c>
      <x:c r="J8" s="54" t="str">
        <x:f>IFERROR(VLOOKUP(H8,'Activity Levels'!$A$5:$C$9,3,FALSE),"")</x:f>
      </x:c>
    </x:row>
    <x:row r="9" ht="20" customHeight="1">
      <x:c r="A9" s="53" t="str">
        <x:v>lucylou449</x:v>
      </x:c>
      <x:c r="B9" s="27" t="str">
        <x:v>Dan First Class</x:v>
      </x:c>
      <x:c r="C9" s="27" t="str">
        <x:v>firstclassagency_dan@outlook.com</x:v>
      </x:c>
      <x:c r="D9" s="37" t="n">
        <x:v>1003148</x:v>
      </x:c>
      <x:c r="E9" s="39" t="n">
        <x:v>54</x:v>
      </x:c>
      <x:c r="F9" s="41" t="n">
        <x:v>23</x:v>
      </x:c>
      <x:c r="G9" s="43" t="n">
        <x:v>1000000</x:v>
      </x:c>
      <x:c r="H9" s="31"/>
      <x:c r="I9" s="45" t="str">
        <x:f>IFERROR(VLOOKUP(H9,'Activity Levels'!$A$5:$C$9,2,FALSE),"")</x:f>
      </x:c>
      <x:c r="J9" s="54" t="str">
        <x:f>IFERROR(VLOOKUP(H9,'Activity Levels'!$A$5:$C$9,3,FALSE),"")</x:f>
      </x:c>
    </x:row>
    <x:row r="10" ht="20" customHeight="1">
      <x:c r="A10" s="53" t="str">
        <x:v>kyzwrld1</x:v>
      </x:c>
      <x:c r="B10" s="27" t="str">
        <x:v>Dan First Class</x:v>
      </x:c>
      <x:c r="C10" s="27" t="str">
        <x:v>firstclassagency_dan@outlook.com</x:v>
      </x:c>
      <x:c r="D10" s="37" t="n">
        <x:v>929722</x:v>
      </x:c>
      <x:c r="E10" s="39" t="n">
        <x:v>58</x:v>
      </x:c>
      <x:c r="F10" s="41" t="n">
        <x:v>24</x:v>
      </x:c>
      <x:c r="G10" s="43" t="n">
        <x:v>700000</x:v>
      </x:c>
      <x:c r="H10" s="31"/>
      <x:c r="I10" s="45" t="str">
        <x:f>IFERROR(VLOOKUP(H10,'Activity Levels'!$A$5:$C$9,2,FALSE),"")</x:f>
      </x:c>
      <x:c r="J10" s="54" t="str">
        <x:f>IFERROR(VLOOKUP(H10,'Activity Levels'!$A$5:$C$9,3,FALSE),"")</x:f>
      </x:c>
    </x:row>
    <x:row r="11" ht="20" customHeight="1">
      <x:c r="A11" s="53" t="str">
        <x:v>dylanjinks</x:v>
      </x:c>
      <x:c r="B11" s="27" t="str">
        <x:v>Dan First Class</x:v>
      </x:c>
      <x:c r="C11" s="27" t="str">
        <x:v>firstclassagency_dan@outlook.com</x:v>
      </x:c>
      <x:c r="D11" s="37" t="n">
        <x:v>845812</x:v>
      </x:c>
      <x:c r="E11" s="39" t="n">
        <x:v>103</x:v>
      </x:c>
      <x:c r="F11" s="41" t="n">
        <x:v>25</x:v>
      </x:c>
      <x:c r="G11" s="43" t="n">
        <x:v>700000</x:v>
      </x:c>
      <x:c r="H11" s="31"/>
      <x:c r="I11" s="45" t="str">
        <x:f>IFERROR(VLOOKUP(H11,'Activity Levels'!$A$5:$C$9,2,FALSE),"")</x:f>
      </x:c>
      <x:c r="J11" s="54" t="str">
        <x:f>IFERROR(VLOOKUP(H11,'Activity Levels'!$A$5:$C$9,3,FALSE),"")</x:f>
      </x:c>
    </x:row>
    <x:row r="12" ht="20" customHeight="1">
      <x:c r="A12" s="53" t="str">
        <x:v>allannah.unknown444</x:v>
      </x:c>
      <x:c r="B12" s="27" t="str">
        <x:v>Dan First Class</x:v>
      </x:c>
      <x:c r="C12" s="27" t="str">
        <x:v>firstclassagency_dan@outlook.com</x:v>
      </x:c>
      <x:c r="D12" s="37" t="n">
        <x:v>835266</x:v>
      </x:c>
      <x:c r="E12" s="39" t="n">
        <x:v>107</x:v>
      </x:c>
      <x:c r="F12" s="41" t="n">
        <x:v>30</x:v>
      </x:c>
      <x:c r="G12" s="43" t="n">
        <x:v>700000</x:v>
      </x:c>
      <x:c r="H12" s="31"/>
      <x:c r="I12" s="45" t="str">
        <x:f>IFERROR(VLOOKUP(H12,'Activity Levels'!$A$5:$C$9,2,FALSE),"")</x:f>
      </x:c>
      <x:c r="J12" s="54" t="str">
        <x:f>IFERROR(VLOOKUP(H12,'Activity Levels'!$A$5:$C$9,3,FALSE),"")</x:f>
      </x:c>
    </x:row>
    <x:row r="13" ht="20" customHeight="1">
      <x:c r="A13" s="53" t="str">
        <x:v>vitaliacy0</x:v>
      </x:c>
      <x:c r="B13" s="27" t="str">
        <x:v>Dan First Class</x:v>
      </x:c>
      <x:c r="C13" s="27" t="str">
        <x:v>firstclassagency_dan@outlook.com</x:v>
      </x:c>
      <x:c r="D13" s="37" t="n">
        <x:v>636638</x:v>
      </x:c>
      <x:c r="E13" s="39" t="n">
        <x:v>82</x:v>
      </x:c>
      <x:c r="F13" s="41" t="n">
        <x:v>25</x:v>
      </x:c>
      <x:c r="G13" s="43" t="n">
        <x:v>500000</x:v>
      </x:c>
      <x:c r="H13" s="31"/>
      <x:c r="I13" s="45" t="str">
        <x:f>IFERROR(VLOOKUP(H13,'Activity Levels'!$A$5:$C$9,2,FALSE),"")</x:f>
      </x:c>
      <x:c r="J13" s="54" t="str">
        <x:f>IFERROR(VLOOKUP(H13,'Activity Levels'!$A$5:$C$9,3,FALSE),"")</x:f>
      </x:c>
    </x:row>
    <x:row r="14" ht="20" customHeight="1">
      <x:c r="A14" s="53" t="str">
        <x:v>flexzontik</x:v>
      </x:c>
      <x:c r="B14" s="27" t="str">
        <x:v>Dan First Class</x:v>
      </x:c>
      <x:c r="C14" s="27" t="str">
        <x:v>firstclassagency_dan@outlook.com</x:v>
      </x:c>
      <x:c r="D14" s="37" t="n">
        <x:v>619653</x:v>
      </x:c>
      <x:c r="E14" s="39" t="n">
        <x:v>77</x:v>
      </x:c>
      <x:c r="F14" s="41" t="n">
        <x:v>19</x:v>
      </x:c>
      <x:c r="G14" s="43" t="n">
        <x:v>500000</x:v>
      </x:c>
      <x:c r="H14" s="31"/>
      <x:c r="I14" s="45" t="str">
        <x:f>IFERROR(VLOOKUP(H14,'Activity Levels'!$A$5:$C$9,2,FALSE),"")</x:f>
      </x:c>
      <x:c r="J14" s="54" t="str">
        <x:f>IFERROR(VLOOKUP(H14,'Activity Levels'!$A$5:$C$9,3,FALSE),"")</x:f>
      </x:c>
    </x:row>
    <x:row r="15" ht="20" customHeight="1">
      <x:c r="A15" s="53" t="str">
        <x:v>paigeoliviaax1</x:v>
      </x:c>
      <x:c r="B15" s="27" t="str">
        <x:v>Dan First Class</x:v>
      </x:c>
      <x:c r="C15" s="27" t="str">
        <x:v>firstclassagency_dan@outlook.com</x:v>
      </x:c>
      <x:c r="D15" s="37" t="n">
        <x:v>436181</x:v>
      </x:c>
      <x:c r="E15" s="39" t="n">
        <x:v>102</x:v>
      </x:c>
      <x:c r="F15" s="41" t="n">
        <x:v>26</x:v>
      </x:c>
      <x:c r="G15" s="43" t="n">
        <x:v>300000</x:v>
      </x:c>
      <x:c r="H15" s="31"/>
      <x:c r="I15" s="45" t="str">
        <x:f>IFERROR(VLOOKUP(H15,'Activity Levels'!$A$5:$C$9,2,FALSE),"")</x:f>
      </x:c>
      <x:c r="J15" s="54" t="str">
        <x:f>IFERROR(VLOOKUP(H15,'Activity Levels'!$A$5:$C$9,3,FALSE),"")</x:f>
      </x:c>
    </x:row>
    <x:row r="16" ht="20" customHeight="1">
      <x:c r="A16" s="53" t="str">
        <x:v>arabellama_y</x:v>
      </x:c>
      <x:c r="B16" s="27" t="str">
        <x:v>Dan First Class</x:v>
      </x:c>
      <x:c r="C16" s="27" t="str">
        <x:v>firstclassagency_dan@outlook.com</x:v>
      </x:c>
      <x:c r="D16" s="37" t="n">
        <x:v>428320</x:v>
      </x:c>
      <x:c r="E16" s="39" t="n">
        <x:v>85</x:v>
      </x:c>
      <x:c r="F16" s="41" t="n">
        <x:v>20</x:v>
      </x:c>
      <x:c r="G16" s="43" t="n">
        <x:v>300000</x:v>
      </x:c>
      <x:c r="H16" s="31"/>
      <x:c r="I16" s="45" t="str">
        <x:f>IFERROR(VLOOKUP(H16,'Activity Levels'!$A$5:$C$9,2,FALSE),"")</x:f>
      </x:c>
      <x:c r="J16" s="54" t="str">
        <x:f>IFERROR(VLOOKUP(H16,'Activity Levels'!$A$5:$C$9,3,FALSE),"")</x:f>
      </x:c>
    </x:row>
    <x:row r="17" ht="20" customHeight="1">
      <x:c r="A17" s="53" t="str">
        <x:v>joshuahurd1</x:v>
      </x:c>
      <x:c r="B17" s="27" t="str">
        <x:v>Dan First Class</x:v>
      </x:c>
      <x:c r="C17" s="27" t="str">
        <x:v>firstclassagency_dan@outlook.com</x:v>
      </x:c>
      <x:c r="D17" s="37" t="n">
        <x:v>391791</x:v>
      </x:c>
      <x:c r="E17" s="39" t="n">
        <x:v>31</x:v>
      </x:c>
      <x:c r="F17" s="41" t="n">
        <x:v>15</x:v>
      </x:c>
      <x:c r="G17" s="43" t="n">
        <x:v>300000</x:v>
      </x:c>
      <x:c r="H17" s="31"/>
      <x:c r="I17" s="45" t="str">
        <x:f>IFERROR(VLOOKUP(H17,'Activity Levels'!$A$5:$C$9,2,FALSE),"")</x:f>
      </x:c>
      <x:c r="J17" s="54" t="str">
        <x:f>IFERROR(VLOOKUP(H17,'Activity Levels'!$A$5:$C$9,3,FALSE),"")</x:f>
      </x:c>
    </x:row>
    <x:row r="18" ht="20" customHeight="1">
      <x:c r="A18" s="53" t="str">
        <x:v>emily17mc</x:v>
      </x:c>
      <x:c r="B18" s="27" t="str">
        <x:v>Dan First Class</x:v>
      </x:c>
      <x:c r="C18" s="27" t="str">
        <x:v>firstclassagency_dan@outlook.com</x:v>
      </x:c>
      <x:c r="D18" s="37" t="n">
        <x:v>330486</x:v>
      </x:c>
      <x:c r="E18" s="39" t="n">
        <x:v>80</x:v>
      </x:c>
      <x:c r="F18" s="41" t="n">
        <x:v>21</x:v>
      </x:c>
      <x:c r="G18" s="43" t="n">
        <x:v>300000</x:v>
      </x:c>
      <x:c r="H18" s="31"/>
      <x:c r="I18" s="45" t="str">
        <x:f>IFERROR(VLOOKUP(H18,'Activity Levels'!$A$5:$C$9,2,FALSE),"")</x:f>
      </x:c>
      <x:c r="J18" s="54" t="str">
        <x:f>IFERROR(VLOOKUP(H18,'Activity Levels'!$A$5:$C$9,3,FALSE),"")</x:f>
      </x:c>
    </x:row>
    <x:row r="19" ht="20" customHeight="1">
      <x:c r="A19" s="53" t="str">
        <x:v>stephen14444</x:v>
      </x:c>
      <x:c r="B19" s="27" t="str">
        <x:v>Dan First Class</x:v>
      </x:c>
      <x:c r="C19" s="27" t="str">
        <x:v>firstclassagency_dan@outlook.com</x:v>
      </x:c>
      <x:c r="D19" s="37" t="n">
        <x:v>320433</x:v>
      </x:c>
      <x:c r="E19" s="39" t="n">
        <x:v>119</x:v>
      </x:c>
      <x:c r="F19" s="41" t="n">
        <x:v>28</x:v>
      </x:c>
      <x:c r="G19" s="43" t="n">
        <x:v>300000</x:v>
      </x:c>
      <x:c r="H19" s="31"/>
      <x:c r="I19" s="45" t="str">
        <x:f>IFERROR(VLOOKUP(H19,'Activity Levels'!$A$5:$C$9,2,FALSE),"")</x:f>
      </x:c>
      <x:c r="J19" s="54" t="str">
        <x:f>IFERROR(VLOOKUP(H19,'Activity Levels'!$A$5:$C$9,3,FALSE),"")</x:f>
      </x:c>
    </x:row>
    <x:row r="20" ht="20" customHeight="1">
      <x:c r="A20" s="53" t="str">
        <x:v>abbiegrant26</x:v>
      </x:c>
      <x:c r="B20" s="27" t="str">
        <x:v>Dan First Class</x:v>
      </x:c>
      <x:c r="C20" s="27" t="str">
        <x:v>firstclassagency_dan@outlook.com</x:v>
      </x:c>
      <x:c r="D20" s="37" t="n">
        <x:v>282168</x:v>
      </x:c>
      <x:c r="E20" s="39" t="n">
        <x:v>94</x:v>
      </x:c>
      <x:c r="F20" s="41" t="n">
        <x:v>26</x:v>
      </x:c>
      <x:c r="G20" s="43" t="n">
        <x:v>200000</x:v>
      </x:c>
      <x:c r="H20" s="31"/>
      <x:c r="I20" s="45" t="str">
        <x:f>IFERROR(VLOOKUP(H20,'Activity Levels'!$A$5:$C$9,2,FALSE),"")</x:f>
      </x:c>
      <x:c r="J20" s="54" t="str">
        <x:f>IFERROR(VLOOKUP(H20,'Activity Levels'!$A$5:$C$9,3,FALSE),"")</x:f>
      </x:c>
    </x:row>
    <x:row r="21" ht="20" customHeight="1">
      <x:c r="A21" s="53" t="str">
        <x:v>poppy_cooper06</x:v>
      </x:c>
      <x:c r="B21" s="27" t="str">
        <x:v>Dan First Class</x:v>
      </x:c>
      <x:c r="C21" s="27" t="str">
        <x:v>firstclassagency_dan@outlook.com</x:v>
      </x:c>
      <x:c r="D21" s="37" t="n">
        <x:v>264630</x:v>
      </x:c>
      <x:c r="E21" s="39" t="n">
        <x:v>88</x:v>
      </x:c>
      <x:c r="F21" s="41" t="n">
        <x:v>25</x:v>
      </x:c>
      <x:c r="G21" s="43" t="n">
        <x:v>200000</x:v>
      </x:c>
      <x:c r="H21" s="31"/>
      <x:c r="I21" s="45" t="str">
        <x:f>IFERROR(VLOOKUP(H21,'Activity Levels'!$A$5:$C$9,2,FALSE),"")</x:f>
      </x:c>
      <x:c r="J21" s="54" t="str">
        <x:f>IFERROR(VLOOKUP(H21,'Activity Levels'!$A$5:$C$9,3,FALSE),"")</x:f>
      </x:c>
    </x:row>
    <x:row r="22" ht="20" customHeight="1">
      <x:c r="A22" s="53" t="str">
        <x:v>candicel05</x:v>
      </x:c>
      <x:c r="B22" s="27" t="str">
        <x:v>Dan First Class</x:v>
      </x:c>
      <x:c r="C22" s="27" t="str">
        <x:v>firstclassagency_dan@outlook.com</x:v>
      </x:c>
      <x:c r="D22" s="37" t="n">
        <x:v>238938</x:v>
      </x:c>
      <x:c r="E22" s="39" t="n">
        <x:v>69</x:v>
      </x:c>
      <x:c r="F22" s="41" t="n">
        <x:v>17</x:v>
      </x:c>
      <x:c r="G22" s="43" t="n">
        <x:v>200000</x:v>
      </x:c>
      <x:c r="H22" s="31"/>
      <x:c r="I22" s="45" t="str">
        <x:f>IFERROR(VLOOKUP(H22,'Activity Levels'!$A$5:$C$9,2,FALSE),"")</x:f>
      </x:c>
      <x:c r="J22" s="54" t="str">
        <x:f>IFERROR(VLOOKUP(H22,'Activity Levels'!$A$5:$C$9,3,FALSE),"")</x:f>
      </x:c>
    </x:row>
    <x:row r="23" ht="20" customHeight="1">
      <x:c r="A23" s="53" t="str">
        <x:v>wh0is.crammy</x:v>
      </x:c>
      <x:c r="B23" s="27" t="str">
        <x:v>Dan First Class</x:v>
      </x:c>
      <x:c r="C23" s="27" t="str">
        <x:v>firstclassagency_dan@outlook.com</x:v>
      </x:c>
      <x:c r="D23" s="37" t="n">
        <x:v>232335</x:v>
      </x:c>
      <x:c r="E23" s="39" t="n">
        <x:v>15</x:v>
      </x:c>
      <x:c r="F23" s="41" t="n">
        <x:v>7</x:v>
      </x:c>
      <x:c r="G23" s="43" t="n">
        <x:v>200000</x:v>
      </x:c>
      <x:c r="H23" s="31"/>
      <x:c r="I23" s="45" t="str">
        <x:f>IFERROR(VLOOKUP(H23,'Activity Levels'!$A$5:$C$9,2,FALSE),"")</x:f>
      </x:c>
      <x:c r="J23" s="54" t="str">
        <x:f>IFERROR(VLOOKUP(H23,'Activity Levels'!$A$5:$C$9,3,FALSE),"")</x:f>
      </x:c>
    </x:row>
    <x:row r="24" ht="20" customHeight="1">
      <x:c r="A24" s="53" t="str">
        <x:v>libbyamberxoxo</x:v>
      </x:c>
      <x:c r="B24" s="27" t="str">
        <x:v>Dan First Class</x:v>
      </x:c>
      <x:c r="C24" s="27" t="str">
        <x:v>firstclassagency_dan@outlook.com</x:v>
      </x:c>
      <x:c r="D24" s="37" t="n">
        <x:v>208287</x:v>
      </x:c>
      <x:c r="E24" s="39" t="n">
        <x:v>47</x:v>
      </x:c>
      <x:c r="F24" s="41" t="n">
        <x:v>18</x:v>
      </x:c>
      <x:c r="G24" s="43" t="n">
        <x:v>200000</x:v>
      </x:c>
      <x:c r="H24" s="31"/>
      <x:c r="I24" s="45" t="str">
        <x:f>IFERROR(VLOOKUP(H24,'Activity Levels'!$A$5:$C$9,2,FALSE),"")</x:f>
      </x:c>
      <x:c r="J24" s="54" t="str">
        <x:f>IFERROR(VLOOKUP(H24,'Activity Levels'!$A$5:$C$9,3,FALSE),"")</x:f>
      </x:c>
    </x:row>
    <x:row r="25" ht="20" customHeight="1">
      <x:c r="A25" s="53" t="str">
        <x:v>z.diness</x:v>
      </x:c>
      <x:c r="B25" s="27" t="str">
        <x:v>Dan First Class</x:v>
      </x:c>
      <x:c r="C25" s="27" t="str">
        <x:v>firstclassagency_dan@outlook.com</x:v>
      </x:c>
      <x:c r="D25" s="37" t="n">
        <x:v>205243</x:v>
      </x:c>
      <x:c r="E25" s="39" t="n">
        <x:v>13</x:v>
      </x:c>
      <x:c r="F25" s="41" t="n">
        <x:v>7</x:v>
      </x:c>
      <x:c r="G25" s="43" t="n">
        <x:v>200000</x:v>
      </x:c>
      <x:c r="H25" s="31"/>
      <x:c r="I25" s="45" t="str">
        <x:f>IFERROR(VLOOKUP(H25,'Activity Levels'!$A$5:$C$9,2,FALSE),"")</x:f>
      </x:c>
      <x:c r="J25" s="54" t="str">
        <x:f>IFERROR(VLOOKUP(H25,'Activity Levels'!$A$5:$C$9,3,FALSE),"")</x:f>
      </x:c>
    </x:row>
    <x:row r="26" ht="20" customHeight="1">
      <x:c r="A26" s="53" t="str">
        <x:v>goldengun62</x:v>
      </x:c>
      <x:c r="B26" s="27" t="str">
        <x:v>Dan First Class</x:v>
      </x:c>
      <x:c r="C26" s="27" t="str">
        <x:v>firstclassagency_dan@outlook.com</x:v>
      </x:c>
      <x:c r="D26" s="37" t="n">
        <x:v>203080</x:v>
      </x:c>
      <x:c r="E26" s="39" t="n">
        <x:v>46</x:v>
      </x:c>
      <x:c r="F26" s="41" t="n">
        <x:v>19</x:v>
      </x:c>
      <x:c r="G26" s="43" t="n">
        <x:v>200000</x:v>
      </x:c>
      <x:c r="H26" s="31"/>
      <x:c r="I26" s="45" t="str">
        <x:f>IFERROR(VLOOKUP(H26,'Activity Levels'!$A$5:$C$9,2,FALSE),"")</x:f>
      </x:c>
      <x:c r="J26" s="54" t="str">
        <x:f>IFERROR(VLOOKUP(H26,'Activity Levels'!$A$5:$C$9,3,FALSE),"")</x:f>
      </x:c>
    </x:row>
    <x:row r="27" ht="20" customHeight="1">
      <x:c r="A27" s="53" t="str">
        <x:v>j.wliveacc</x:v>
      </x:c>
      <x:c r="B27" s="27" t="str">
        <x:v>Dan First Class</x:v>
      </x:c>
      <x:c r="C27" s="27" t="str">
        <x:v>firstclassagency_dan@outlook.com</x:v>
      </x:c>
      <x:c r="D27" s="37" t="n">
        <x:v>165391</x:v>
      </x:c>
      <x:c r="E27" s="39" t="n">
        <x:v>32</x:v>
      </x:c>
      <x:c r="F27" s="41" t="n">
        <x:v>16</x:v>
      </x:c>
      <x:c r="G27" s="43" t="n">
        <x:v>100000</x:v>
      </x:c>
      <x:c r="H27" s="31"/>
      <x:c r="I27" s="45" t="str">
        <x:f>IFERROR(VLOOKUP(H27,'Activity Levels'!$A$5:$C$9,2,FALSE),"")</x:f>
      </x:c>
      <x:c r="J27" s="54" t="str">
        <x:f>IFERROR(VLOOKUP(H27,'Activity Levels'!$A$5:$C$9,3,FALSE),"")</x:f>
      </x:c>
    </x:row>
    <x:row r="28" ht="20" customHeight="1">
      <x:c r="A28" s="53" t="str">
        <x:v>alfie.434</x:v>
      </x:c>
      <x:c r="B28" s="27" t="str">
        <x:v>Dan First Class</x:v>
      </x:c>
      <x:c r="C28" s="27" t="str">
        <x:v>firstclassagency_dan@outlook.com</x:v>
      </x:c>
      <x:c r="D28" s="37" t="n">
        <x:v>158226</x:v>
      </x:c>
      <x:c r="E28" s="39" t="n">
        <x:v>51</x:v>
      </x:c>
      <x:c r="F28" s="41" t="n">
        <x:v>24</x:v>
      </x:c>
      <x:c r="G28" s="43" t="n">
        <x:v>100000</x:v>
      </x:c>
      <x:c r="H28" s="31"/>
      <x:c r="I28" s="45" t="str">
        <x:f>IFERROR(VLOOKUP(H28,'Activity Levels'!$A$5:$C$9,2,FALSE),"")</x:f>
      </x:c>
      <x:c r="J28" s="54" t="str">
        <x:f>IFERROR(VLOOKUP(H28,'Activity Levels'!$A$5:$C$9,3,FALSE),"")</x:f>
      </x:c>
    </x:row>
    <x:row r="29" ht="20" customHeight="1">
      <x:c r="A29" s="53" t="str">
        <x:v>doryelizabeth09</x:v>
      </x:c>
      <x:c r="B29" s="27" t="str">
        <x:v>Dan First Class</x:v>
      </x:c>
      <x:c r="C29" s="27" t="str">
        <x:v>firstclassagency_dan@outlook.com</x:v>
      </x:c>
      <x:c r="D29" s="37" t="n">
        <x:v>146729</x:v>
      </x:c>
      <x:c r="E29" s="39" t="n">
        <x:v>38</x:v>
      </x:c>
      <x:c r="F29" s="41" t="n">
        <x:v>16</x:v>
      </x:c>
      <x:c r="G29" s="43" t="n">
        <x:v>100000</x:v>
      </x:c>
      <x:c r="H29" s="31"/>
      <x:c r="I29" s="45" t="str">
        <x:f>IFERROR(VLOOKUP(H29,'Activity Levels'!$A$5:$C$9,2,FALSE),"")</x:f>
      </x:c>
      <x:c r="J29" s="54" t="str">
        <x:f>IFERROR(VLOOKUP(H29,'Activity Levels'!$A$5:$C$9,3,FALSE),"")</x:f>
      </x:c>
    </x:row>
    <x:row r="30" ht="20" customHeight="1">
      <x:c r="A30" s="53" t="str">
        <x:v>qdedbyjiggle</x:v>
      </x:c>
      <x:c r="B30" s="27" t="str">
        <x:v>Dan First Class</x:v>
      </x:c>
      <x:c r="C30" s="27" t="str">
        <x:v>firstclassagency_dan@outlook.com</x:v>
      </x:c>
      <x:c r="D30" s="37" t="n">
        <x:v>133905</x:v>
      </x:c>
      <x:c r="E30" s="39" t="n">
        <x:v>60</x:v>
      </x:c>
      <x:c r="F30" s="41" t="n">
        <x:v>27</x:v>
      </x:c>
      <x:c r="G30" s="43" t="n">
        <x:v>100000</x:v>
      </x:c>
      <x:c r="H30" s="31"/>
      <x:c r="I30" s="45" t="str">
        <x:f>IFERROR(VLOOKUP(H30,'Activity Levels'!$A$5:$C$9,2,FALSE),"")</x:f>
      </x:c>
      <x:c r="J30" s="54" t="str">
        <x:f>IFERROR(VLOOKUP(H30,'Activity Levels'!$A$5:$C$9,3,FALSE),"")</x:f>
      </x:c>
    </x:row>
    <x:row r="31" ht="20" customHeight="1">
      <x:c r="A31" s="53" t="str">
        <x:v>sc95__</x:v>
      </x:c>
      <x:c r="B31" s="27" t="str">
        <x:v>Dan First Class</x:v>
      </x:c>
      <x:c r="C31" s="27" t="str">
        <x:v>firstclassagency_dan@outlook.com</x:v>
      </x:c>
      <x:c r="D31" s="37" t="n">
        <x:v>112641</x:v>
      </x:c>
      <x:c r="E31" s="39" t="n">
        <x:v>51</x:v>
      </x:c>
      <x:c r="F31" s="41" t="n">
        <x:v>17</x:v>
      </x:c>
      <x:c r="G31" s="43" t="n">
        <x:v>100000</x:v>
      </x:c>
      <x:c r="H31" s="31"/>
      <x:c r="I31" s="45" t="str">
        <x:f>IFERROR(VLOOKUP(H31,'Activity Levels'!$A$5:$C$9,2,FALSE),"")</x:f>
      </x:c>
      <x:c r="J31" s="54" t="str">
        <x:f>IFERROR(VLOOKUP(H31,'Activity Levels'!$A$5:$C$9,3,FALSE),"")</x:f>
      </x:c>
    </x:row>
    <x:row r="32" ht="20" customHeight="1">
      <x:c r="A32" s="53" t="str">
        <x:v>your.mush.aj</x:v>
      </x:c>
      <x:c r="B32" s="27" t="str">
        <x:v>Dan First Class</x:v>
      </x:c>
      <x:c r="C32" s="27" t="str">
        <x:v>firstclassagency_dan@outlook.com</x:v>
      </x:c>
      <x:c r="D32" s="37" t="n">
        <x:v>106542</x:v>
      </x:c>
      <x:c r="E32" s="39" t="n">
        <x:v>238</x:v>
      </x:c>
      <x:c r="F32" s="41" t="n">
        <x:v>29</x:v>
      </x:c>
      <x:c r="G32" s="43" t="n">
        <x:v>100000</x:v>
      </x:c>
      <x:c r="H32" s="31"/>
      <x:c r="I32" s="45" t="str">
        <x:f>IFERROR(VLOOKUP(H32,'Activity Levels'!$A$5:$C$9,2,FALSE),"")</x:f>
      </x:c>
      <x:c r="J32" s="54" t="str">
        <x:f>IFERROR(VLOOKUP(H32,'Activity Levels'!$A$5:$C$9,3,FALSE),"")</x:f>
      </x:c>
    </x:row>
    <x:row r="33" ht="20" customHeight="1">
      <x:c r="A33" s="53" t="str">
        <x:v>ronniefieldd</x:v>
      </x:c>
      <x:c r="B33" s="27" t="str">
        <x:v>Dan First Class</x:v>
      </x:c>
      <x:c r="C33" s="27" t="str">
        <x:v>firstclassagency_dan@outlook.com</x:v>
      </x:c>
      <x:c r="D33" s="37" t="n">
        <x:v>81114</x:v>
      </x:c>
      <x:c r="E33" s="39" t="n">
        <x:v>43</x:v>
      </x:c>
      <x:c r="F33" s="41" t="n">
        <x:v>24</x:v>
      </x:c>
      <x:c r="G33" s="43" t="n">
        <x:v>100000</x:v>
      </x:c>
      <x:c r="H33" s="31"/>
      <x:c r="I33" s="45" t="str">
        <x:f>IFERROR(VLOOKUP(H33,'Activity Levels'!$A$5:$C$9,2,FALSE),"")</x:f>
      </x:c>
      <x:c r="J33" s="54" t="str">
        <x:f>IFERROR(VLOOKUP(H33,'Activity Levels'!$A$5:$C$9,3,FALSE),"")</x:f>
      </x:c>
    </x:row>
    <x:row r="34" ht="20" customHeight="1">
      <x:c r="A34" s="53" t="str">
        <x:v>rubylou050</x:v>
      </x:c>
      <x:c r="B34" s="27" t="str">
        <x:v>Dan First Class</x:v>
      </x:c>
      <x:c r="C34" s="27" t="str">
        <x:v>firstclassagency_dan@outlook.com</x:v>
      </x:c>
      <x:c r="D34" s="37" t="n">
        <x:v>78740</x:v>
      </x:c>
      <x:c r="E34" s="39" t="n">
        <x:v>67</x:v>
      </x:c>
      <x:c r="F34" s="41" t="n">
        <x:v>20</x:v>
      </x:c>
      <x:c r="G34" s="43" t="n">
        <x:v>100000</x:v>
      </x:c>
      <x:c r="H34" s="31"/>
      <x:c r="I34" s="45" t="str">
        <x:f>IFERROR(VLOOKUP(H34,'Activity Levels'!$A$5:$C$9,2,FALSE),"")</x:f>
      </x:c>
      <x:c r="J34" s="54" t="str">
        <x:f>IFERROR(VLOOKUP(H34,'Activity Levels'!$A$5:$C$9,3,FALSE),"")</x:f>
      </x:c>
    </x:row>
    <x:row r="35" ht="20" customHeight="1">
      <x:c r="A35" s="53" t="str">
        <x:v>fredreflects</x:v>
      </x:c>
      <x:c r="B35" s="27" t="str">
        <x:v>Dan First Class</x:v>
      </x:c>
      <x:c r="C35" s="27" t="str">
        <x:v>firstclassagency_dan@outlook.com</x:v>
      </x:c>
      <x:c r="D35" s="37" t="n">
        <x:v>76801</x:v>
      </x:c>
      <x:c r="E35" s="39" t="n">
        <x:v>5</x:v>
      </x:c>
      <x:c r="F35" s="41" t="n">
        <x:v>2</x:v>
      </x:c>
      <x:c r="G35" s="43" t="n">
        <x:v>100000</x:v>
      </x:c>
      <x:c r="H35" s="31"/>
      <x:c r="I35" s="45" t="str">
        <x:f>IFERROR(VLOOKUP(H35,'Activity Levels'!$A$5:$C$9,2,FALSE),"")</x:f>
      </x:c>
      <x:c r="J35" s="54" t="str">
        <x:f>IFERROR(VLOOKUP(H35,'Activity Levels'!$A$5:$C$9,3,FALSE),"")</x:f>
      </x:c>
    </x:row>
    <x:row r="36" ht="20" customHeight="1">
      <x:c r="A36" s="53" t="str">
        <x:v>pierreplonka</x:v>
      </x:c>
      <x:c r="B36" s="27" t="str">
        <x:v>Dan First Class</x:v>
      </x:c>
      <x:c r="C36" s="27" t="str">
        <x:v>firstclassagency_dan@outlook.com</x:v>
      </x:c>
      <x:c r="D36" s="37" t="n">
        <x:v>63488</x:v>
      </x:c>
      <x:c r="E36" s="39" t="n">
        <x:v>11</x:v>
      </x:c>
      <x:c r="F36" s="41" t="n">
        <x:v>4</x:v>
      </x:c>
      <x:c r="G36" s="43" t="n">
        <x:v>100000</x:v>
      </x:c>
      <x:c r="H36" s="31"/>
      <x:c r="I36" s="45" t="str">
        <x:f>IFERROR(VLOOKUP(H36,'Activity Levels'!$A$5:$C$9,2,FALSE),"")</x:f>
      </x:c>
      <x:c r="J36" s="54" t="str">
        <x:f>IFERROR(VLOOKUP(H36,'Activity Levels'!$A$5:$C$9,3,FALSE),"")</x:f>
      </x:c>
    </x:row>
    <x:row r="37" ht="20" customHeight="1">
      <x:c r="A37" s="53" t="str">
        <x:v>oliversprayson</x:v>
      </x:c>
      <x:c r="B37" s="27" t="str">
        <x:v>Dan First Class</x:v>
      </x:c>
      <x:c r="C37" s="27" t="str">
        <x:v>firstclassagency_dan@outlook.com</x:v>
      </x:c>
      <x:c r="D37" s="37" t="n">
        <x:v>49512</x:v>
      </x:c>
      <x:c r="E37" s="39" t="n">
        <x:v>81</x:v>
      </x:c>
      <x:c r="F37" s="41" t="n">
        <x:v>25</x:v>
      </x:c>
      <x:c r="G37" s="43" t="n">
        <x:v>100000</x:v>
      </x:c>
      <x:c r="H37" s="31"/>
      <x:c r="I37" s="45" t="str">
        <x:f>IFERROR(VLOOKUP(H37,'Activity Levels'!$A$5:$C$9,2,FALSE),"")</x:f>
      </x:c>
      <x:c r="J37" s="54" t="str">
        <x:f>IFERROR(VLOOKUP(H37,'Activity Levels'!$A$5:$C$9,3,FALSE),"")</x:f>
      </x:c>
    </x:row>
    <x:row r="38" ht="20" customHeight="1">
      <x:c r="A38" s="53" t="str">
        <x:v>livburns5</x:v>
      </x:c>
      <x:c r="B38" s="27" t="str">
        <x:v>Dan First Class</x:v>
      </x:c>
      <x:c r="C38" s="27" t="str">
        <x:v>firstclassagency_dan@outlook.com</x:v>
      </x:c>
      <x:c r="D38" s="37" t="n">
        <x:v>39713</x:v>
      </x:c>
      <x:c r="E38" s="39" t="n">
        <x:v>13</x:v>
      </x:c>
      <x:c r="F38" s="41" t="n">
        <x:v>7</x:v>
      </x:c>
      <x:c r="G38" s="43" t="n">
        <x:v>100000</x:v>
      </x:c>
      <x:c r="H38" s="31"/>
      <x:c r="I38" s="45" t="str">
        <x:f>IFERROR(VLOOKUP(H38,'Activity Levels'!$A$5:$C$9,2,FALSE),"")</x:f>
      </x:c>
      <x:c r="J38" s="54" t="str">
        <x:f>IFERROR(VLOOKUP(H38,'Activity Levels'!$A$5:$C$9,3,FALSE),"")</x:f>
      </x:c>
    </x:row>
    <x:row r="39" ht="20" customHeight="1">
      <x:c r="A39" s="53" t="str">
        <x:v>georgiabrookss20</x:v>
      </x:c>
      <x:c r="B39" s="27" t="str">
        <x:v>Dan First Class</x:v>
      </x:c>
      <x:c r="C39" s="27" t="str">
        <x:v>firstclassagency_dan@outlook.com</x:v>
      </x:c>
      <x:c r="D39" s="37" t="n">
        <x:v>28632</x:v>
      </x:c>
      <x:c r="E39" s="39" t="n">
        <x:v>11</x:v>
      </x:c>
      <x:c r="F39" s="41" t="n">
        <x:v>6</x:v>
      </x:c>
      <x:c r="G39" s="43" t="n">
        <x:v>100000</x:v>
      </x:c>
      <x:c r="H39" s="31"/>
      <x:c r="I39" s="45" t="str">
        <x:f>IFERROR(VLOOKUP(H39,'Activity Levels'!$A$5:$C$9,2,FALSE),"")</x:f>
      </x:c>
      <x:c r="J39" s="54" t="str">
        <x:f>IFERROR(VLOOKUP(H39,'Activity Levels'!$A$5:$C$9,3,FALSE),"")</x:f>
      </x:c>
    </x:row>
    <x:row r="40" ht="20" customHeight="1">
      <x:c r="A40" s="53" t="str">
        <x:v>_lucy_no1</x:v>
      </x:c>
      <x:c r="B40" s="27" t="str">
        <x:v>Dan First Class</x:v>
      </x:c>
      <x:c r="C40" s="27" t="str">
        <x:v>firstclassagency_dan@outlook.com</x:v>
      </x:c>
      <x:c r="D40" s="37" t="n">
        <x:v>25350</x:v>
      </x:c>
      <x:c r="E40" s="39" t="n">
        <x:v>34</x:v>
      </x:c>
      <x:c r="F40" s="41" t="n">
        <x:v>12</x:v>
      </x:c>
      <x:c r="G40" s="43" t="n">
        <x:v>100000</x:v>
      </x:c>
      <x:c r="H40" s="31"/>
      <x:c r="I40" s="45" t="str">
        <x:f>IFERROR(VLOOKUP(H40,'Activity Levels'!$A$5:$C$9,2,FALSE),"")</x:f>
      </x:c>
      <x:c r="J40" s="54" t="str">
        <x:f>IFERROR(VLOOKUP(H40,'Activity Levels'!$A$5:$C$9,3,FALSE),"")</x:f>
      </x:c>
    </x:row>
    <x:row r="41" ht="20" customHeight="1">
      <x:c r="A41" s="53" t="str">
        <x:v>skyesspammxx</x:v>
      </x:c>
      <x:c r="B41" s="27" t="str">
        <x:v>Dan First Class</x:v>
      </x:c>
      <x:c r="C41" s="27" t="str">
        <x:v>firstclassagency_dan@outlook.com</x:v>
      </x:c>
      <x:c r="D41" s="37" t="n">
        <x:v>24780</x:v>
      </x:c>
      <x:c r="E41" s="39" t="n">
        <x:v>8</x:v>
      </x:c>
      <x:c r="F41" s="41" t="n">
        <x:v>2</x:v>
      </x:c>
      <x:c r="G41" s="43" t="n">
        <x:v>100000</x:v>
      </x:c>
      <x:c r="H41" s="31"/>
      <x:c r="I41" s="45" t="str">
        <x:f>IFERROR(VLOOKUP(H41,'Activity Levels'!$A$5:$C$9,2,FALSE),"")</x:f>
      </x:c>
      <x:c r="J41" s="54" t="str">
        <x:f>IFERROR(VLOOKUP(H41,'Activity Levels'!$A$5:$C$9,3,FALSE),"")</x:f>
      </x:c>
    </x:row>
    <x:row r="42" ht="20" customHeight="1">
      <x:c r="A42" s="53" t="str">
        <x:v>bradley0x</x:v>
      </x:c>
      <x:c r="B42" s="27" t="str">
        <x:v>Dan First Class</x:v>
      </x:c>
      <x:c r="C42" s="27" t="str">
        <x:v>firstclassagency_dan@outlook.com</x:v>
      </x:c>
      <x:c r="D42" s="37" t="n">
        <x:v>20642</x:v>
      </x:c>
      <x:c r="E42" s="39" t="n">
        <x:v>20</x:v>
      </x:c>
      <x:c r="F42" s="41" t="n">
        <x:v>12</x:v>
      </x:c>
      <x:c r="G42" s="43" t="n">
        <x:v>100000</x:v>
      </x:c>
      <x:c r="H42" s="31"/>
      <x:c r="I42" s="45" t="str">
        <x:f>IFERROR(VLOOKUP(H42,'Activity Levels'!$A$5:$C$9,2,FALSE),"")</x:f>
      </x:c>
      <x:c r="J42" s="54" t="str">
        <x:f>IFERROR(VLOOKUP(H42,'Activity Levels'!$A$5:$C$9,3,FALSE),"")</x:f>
      </x:c>
    </x:row>
    <x:row r="43" ht="20" customHeight="1">
      <x:c r="A43" s="53" t="str">
        <x:v>hannahbrissenden12</x:v>
      </x:c>
      <x:c r="B43" s="27" t="str">
        <x:v>Dan First Class</x:v>
      </x:c>
      <x:c r="C43" s="27" t="str">
        <x:v>firstclassagency_dan@outlook.com</x:v>
      </x:c>
      <x:c r="D43" s="37" t="n">
        <x:v>16526</x:v>
      </x:c>
      <x:c r="E43" s="39" t="n">
        <x:v>11</x:v>
      </x:c>
      <x:c r="F43" s="41" t="n">
        <x:v>5</x:v>
      </x:c>
      <x:c r="G43" s="43" t="n">
        <x:v>100000</x:v>
      </x:c>
      <x:c r="H43" s="31"/>
      <x:c r="I43" s="45" t="str">
        <x:f>IFERROR(VLOOKUP(H43,'Activity Levels'!$A$5:$C$9,2,FALSE),"")</x:f>
      </x:c>
      <x:c r="J43" s="54" t="str">
        <x:f>IFERROR(VLOOKUP(H43,'Activity Levels'!$A$5:$C$9,3,FALSE),"")</x:f>
      </x:c>
    </x:row>
    <x:row r="44" ht="20" customHeight="1">
      <x:c r="A44" s="53" t="str">
        <x:v>leahlaunders21</x:v>
      </x:c>
      <x:c r="B44" s="27" t="str">
        <x:v>Dan First Class</x:v>
      </x:c>
      <x:c r="C44" s="27" t="str">
        <x:v>firstclassagency_dan@outlook.com</x:v>
      </x:c>
      <x:c r="D44" s="37" t="n">
        <x:v>16433</x:v>
      </x:c>
      <x:c r="E44" s="39" t="n">
        <x:v>34</x:v>
      </x:c>
      <x:c r="F44" s="41" t="n">
        <x:v>19</x:v>
      </x:c>
      <x:c r="G44" s="43" t="n">
        <x:v>100000</x:v>
      </x:c>
      <x:c r="H44" s="31"/>
      <x:c r="I44" s="45" t="str">
        <x:f>IFERROR(VLOOKUP(H44,'Activity Levels'!$A$5:$C$9,2,FALSE),"")</x:f>
      </x:c>
      <x:c r="J44" s="54" t="str">
        <x:f>IFERROR(VLOOKUP(H44,'Activity Levels'!$A$5:$C$9,3,FALSE),"")</x:f>
      </x:c>
    </x:row>
    <x:row r="45" ht="20" customHeight="1">
      <x:c r="A45" s="53" t="str">
        <x:v>jordd.g.98</x:v>
      </x:c>
      <x:c r="B45" s="27" t="str">
        <x:v>Dan First Class</x:v>
      </x:c>
      <x:c r="C45" s="27" t="str">
        <x:v>firstclassagency_dan@outlook.com</x:v>
      </x:c>
      <x:c r="D45" s="37" t="n">
        <x:v>13594</x:v>
      </x:c>
      <x:c r="E45" s="39" t="n">
        <x:v>14</x:v>
      </x:c>
      <x:c r="F45" s="41" t="n">
        <x:v>8</x:v>
      </x:c>
      <x:c r="G45" s="43" t="n">
        <x:v>100000</x:v>
      </x:c>
      <x:c r="H45" s="31"/>
      <x:c r="I45" s="45" t="str">
        <x:f>IFERROR(VLOOKUP(H45,'Activity Levels'!$A$5:$C$9,2,FALSE),"")</x:f>
      </x:c>
      <x:c r="J45" s="54" t="str">
        <x:f>IFERROR(VLOOKUP(H45,'Activity Levels'!$A$5:$C$9,3,FALSE),"")</x:f>
      </x:c>
    </x:row>
    <x:row r="46" ht="20" customHeight="1">
      <x:c r="A46" s="53" t="str">
        <x:v>stacieholton1</x:v>
      </x:c>
      <x:c r="B46" s="27" t="str">
        <x:v>Dan First Class</x:v>
      </x:c>
      <x:c r="C46" s="27" t="str">
        <x:v>firstclassagency_dan@outlook.com</x:v>
      </x:c>
      <x:c r="D46" s="37" t="n">
        <x:v>13373</x:v>
      </x:c>
      <x:c r="E46" s="39" t="n">
        <x:v>17</x:v>
      </x:c>
      <x:c r="F46" s="41" t="n">
        <x:v>6</x:v>
      </x:c>
      <x:c r="G46" s="43" t="n">
        <x:v>100000</x:v>
      </x:c>
      <x:c r="H46" s="31"/>
      <x:c r="I46" s="45" t="str">
        <x:f>IFERROR(VLOOKUP(H46,'Activity Levels'!$A$5:$C$9,2,FALSE),"")</x:f>
      </x:c>
      <x:c r="J46" s="54" t="str">
        <x:f>IFERROR(VLOOKUP(H46,'Activity Levels'!$A$5:$C$9,3,FALSE),"")</x:f>
      </x:c>
    </x:row>
    <x:row r="47" ht="20" customHeight="1">
      <x:c r="A47" s="53" t="str">
        <x:v>itscamcarter</x:v>
      </x:c>
      <x:c r="B47" s="27" t="str">
        <x:v>Dan First Class</x:v>
      </x:c>
      <x:c r="C47" s="27" t="str">
        <x:v>firstclassagency_dan@outlook.com</x:v>
      </x:c>
      <x:c r="D47" s="37" t="n">
        <x:v>13109</x:v>
      </x:c>
      <x:c r="E47" s="39" t="n">
        <x:v>19</x:v>
      </x:c>
      <x:c r="F47" s="41" t="n">
        <x:v>11</x:v>
      </x:c>
      <x:c r="G47" s="43" t="n">
        <x:v>100000</x:v>
      </x:c>
      <x:c r="H47" s="31"/>
      <x:c r="I47" s="45" t="str">
        <x:f>IFERROR(VLOOKUP(H47,'Activity Levels'!$A$5:$C$9,2,FALSE),"")</x:f>
      </x:c>
      <x:c r="J47" s="54" t="str">
        <x:f>IFERROR(VLOOKUP(H47,'Activity Levels'!$A$5:$C$9,3,FALSE),"")</x:f>
      </x:c>
    </x:row>
    <x:row r="48" ht="20" customHeight="1">
      <x:c r="A48" s="53" t="str">
        <x:v>pyroindigame</x:v>
      </x:c>
      <x:c r="B48" s="27" t="str">
        <x:v>Dan First Class</x:v>
      </x:c>
      <x:c r="C48" s="27" t="str">
        <x:v>firstclassagency_dan@outlook.com</x:v>
      </x:c>
      <x:c r="D48" s="37" t="n">
        <x:v>12765</x:v>
      </x:c>
      <x:c r="E48" s="39" t="n">
        <x:v>4</x:v>
      </x:c>
      <x:c r="F48" s="41" t="n">
        <x:v>2</x:v>
      </x:c>
      <x:c r="G48" s="43" t="n">
        <x:v>100000</x:v>
      </x:c>
      <x:c r="H48" s="31"/>
      <x:c r="I48" s="45" t="str">
        <x:f>IFERROR(VLOOKUP(H48,'Activity Levels'!$A$5:$C$9,2,FALSE),"")</x:f>
      </x:c>
      <x:c r="J48" s="54" t="str">
        <x:f>IFERROR(VLOOKUP(H48,'Activity Levels'!$A$5:$C$9,3,FALSE),"")</x:f>
      </x:c>
    </x:row>
    <x:row r="49" ht="20" customHeight="1">
      <x:c r="A49" s="53" t="str">
        <x:v>cole.or.sum2</x:v>
      </x:c>
      <x:c r="B49" s="27" t="str">
        <x:v>Dan First Class</x:v>
      </x:c>
      <x:c r="C49" s="27" t="str">
        <x:v>firstclassagency_dan@outlook.com</x:v>
      </x:c>
      <x:c r="D49" s="37" t="n">
        <x:v>12107</x:v>
      </x:c>
      <x:c r="E49" s="39" t="n">
        <x:v>9</x:v>
      </x:c>
      <x:c r="F49" s="41" t="n">
        <x:v>4</x:v>
      </x:c>
      <x:c r="G49" s="43" t="n">
        <x:v>100000</x:v>
      </x:c>
      <x:c r="H49" s="31"/>
      <x:c r="I49" s="45" t="str">
        <x:f>IFERROR(VLOOKUP(H49,'Activity Levels'!$A$5:$C$9,2,FALSE),"")</x:f>
      </x:c>
      <x:c r="J49" s="54" t="str">
        <x:f>IFERROR(VLOOKUP(H49,'Activity Levels'!$A$5:$C$9,3,FALSE),"")</x:f>
      </x:c>
    </x:row>
    <x:row r="50" ht="20" customHeight="1">
      <x:c r="A50" s="53" t="str">
        <x:v>pezzadox</x:v>
      </x:c>
      <x:c r="B50" s="27" t="str">
        <x:v>Dan First Class</x:v>
      </x:c>
      <x:c r="C50" s="27" t="str">
        <x:v>firstclassagency_dan@outlook.com</x:v>
      </x:c>
      <x:c r="D50" s="37" t="n">
        <x:v>9284</x:v>
      </x:c>
      <x:c r="E50" s="39" t="n">
        <x:v>18</x:v>
      </x:c>
      <x:c r="F50" s="41" t="n">
        <x:v>6</x:v>
      </x:c>
      <x:c r="G50" s="43" t="n">
        <x:v>100000</x:v>
      </x:c>
      <x:c r="H50" s="31"/>
      <x:c r="I50" s="45" t="str">
        <x:f>IFERROR(VLOOKUP(H50,'Activity Levels'!$A$5:$C$9,2,FALSE),"")</x:f>
      </x:c>
      <x:c r="J50" s="54" t="str">
        <x:f>IFERROR(VLOOKUP(H50,'Activity Levels'!$A$5:$C$9,3,FALSE),"")</x:f>
      </x:c>
    </x:row>
    <x:row r="51" ht="20" customHeight="1">
      <x:c r="A51" s="53" t="str">
        <x:v>unknown_available1</x:v>
      </x:c>
      <x:c r="B51" s="27" t="str">
        <x:v>Dan First Class</x:v>
      </x:c>
      <x:c r="C51" s="27" t="str">
        <x:v>firstclassagency_dan@outlook.com</x:v>
      </x:c>
      <x:c r="D51" s="37" t="n">
        <x:v>9248</x:v>
      </x:c>
      <x:c r="E51" s="39" t="n">
        <x:v>20</x:v>
      </x:c>
      <x:c r="F51" s="41" t="n">
        <x:v>10</x:v>
      </x:c>
      <x:c r="G51" s="43" t="n">
        <x:v>100000</x:v>
      </x:c>
      <x:c r="H51" s="31"/>
      <x:c r="I51" s="45" t="str">
        <x:f>IFERROR(VLOOKUP(H51,'Activity Levels'!$A$5:$C$9,2,FALSE),"")</x:f>
      </x:c>
      <x:c r="J51" s="54" t="str">
        <x:f>IFERROR(VLOOKUP(H51,'Activity Levels'!$A$5:$C$9,3,FALSE),"")</x:f>
      </x:c>
    </x:row>
    <x:row r="52" ht="20" customHeight="1">
      <x:c r="A52" s="53" t="str">
        <x:v>2026_agunnerforlife</x:v>
      </x:c>
      <x:c r="B52" s="27" t="str">
        <x:v>Dan First Class</x:v>
      </x:c>
      <x:c r="C52" s="27" t="str">
        <x:v>firstclassagency_dan@outlook.com</x:v>
      </x:c>
      <x:c r="D52" s="37" t="n">
        <x:v>8169</x:v>
      </x:c>
      <x:c r="E52" s="39" t="n">
        <x:v>19</x:v>
      </x:c>
      <x:c r="F52" s="41" t="n">
        <x:v>8</x:v>
      </x:c>
      <x:c r="G52" s="43" t="n">
        <x:v>100000</x:v>
      </x:c>
      <x:c r="H52" s="31"/>
      <x:c r="I52" s="45" t="str">
        <x:f>IFERROR(VLOOKUP(H52,'Activity Levels'!$A$5:$C$9,2,FALSE),"")</x:f>
      </x:c>
      <x:c r="J52" s="54" t="str">
        <x:f>IFERROR(VLOOKUP(H52,'Activity Levels'!$A$5:$C$9,3,FALSE),"")</x:f>
      </x:c>
    </x:row>
    <x:row r="53" ht="20" customHeight="1">
      <x:c r="A53" s="53" t="str">
        <x:v>drino301</x:v>
      </x:c>
      <x:c r="B53" s="27" t="str">
        <x:v>Dan First Class</x:v>
      </x:c>
      <x:c r="C53" s="27" t="str">
        <x:v>firstclassagency_dan@outlook.com</x:v>
      </x:c>
      <x:c r="D53" s="37" t="n">
        <x:v>7875</x:v>
      </x:c>
      <x:c r="E53" s="39" t="n">
        <x:v>7</x:v>
      </x:c>
      <x:c r="F53" s="41" t="n">
        <x:v>5</x:v>
      </x:c>
      <x:c r="G53" s="43" t="n">
        <x:v>100000</x:v>
      </x:c>
      <x:c r="H53" s="31"/>
      <x:c r="I53" s="45" t="str">
        <x:f>IFERROR(VLOOKUP(H53,'Activity Levels'!$A$5:$C$9,2,FALSE),"")</x:f>
      </x:c>
      <x:c r="J53" s="54" t="str">
        <x:f>IFERROR(VLOOKUP(H53,'Activity Levels'!$A$5:$C$9,3,FALSE),"")</x:f>
      </x:c>
    </x:row>
    <x:row r="54" ht="20" customHeight="1">
      <x:c r="A54" s="53" t="str">
        <x:v>scottjherd</x:v>
      </x:c>
      <x:c r="B54" s="27" t="str">
        <x:v>Dan First Class</x:v>
      </x:c>
      <x:c r="C54" s="27" t="str">
        <x:v>firstclassagency_dan@outlook.com</x:v>
      </x:c>
      <x:c r="D54" s="37" t="n">
        <x:v>6261</x:v>
      </x:c>
      <x:c r="E54" s="39" t="n">
        <x:v>2</x:v>
      </x:c>
      <x:c r="F54" s="41" t="n">
        <x:v>1</x:v>
      </x:c>
      <x:c r="G54" s="43" t="n">
        <x:v>100000</x:v>
      </x:c>
      <x:c r="H54" s="31"/>
      <x:c r="I54" s="45" t="str">
        <x:f>IFERROR(VLOOKUP(H54,'Activity Levels'!$A$5:$C$9,2,FALSE),"")</x:f>
      </x:c>
      <x:c r="J54" s="54" t="str">
        <x:f>IFERROR(VLOOKUP(H54,'Activity Levels'!$A$5:$C$9,3,FALSE),"")</x:f>
      </x:c>
    </x:row>
    <x:row r="55" ht="20" customHeight="1">
      <x:c r="A55" s="53" t="str">
        <x:v>that1ld</x:v>
      </x:c>
      <x:c r="B55" s="27" t="str">
        <x:v>Dan First Class</x:v>
      </x:c>
      <x:c r="C55" s="27" t="str">
        <x:v>firstclassagency_dan@outlook.com</x:v>
      </x:c>
      <x:c r="D55" s="37" t="n">
        <x:v>5780</x:v>
      </x:c>
      <x:c r="E55" s="39" t="n">
        <x:v>7</x:v>
      </x:c>
      <x:c r="F55" s="41" t="n">
        <x:v>3</x:v>
      </x:c>
      <x:c r="G55" s="43" t="n">
        <x:v>100000</x:v>
      </x:c>
      <x:c r="H55" s="31"/>
      <x:c r="I55" s="45" t="str">
        <x:f>IFERROR(VLOOKUP(H55,'Activity Levels'!$A$5:$C$9,2,FALSE),"")</x:f>
      </x:c>
      <x:c r="J55" s="54" t="str">
        <x:f>IFERROR(VLOOKUP(H55,'Activity Levels'!$A$5:$C$9,3,FALSE),"")</x:f>
      </x:c>
    </x:row>
    <x:row r="56" ht="20" customHeight="1">
      <x:c r="A56" s="53" t="str">
        <x:v>nlh881655</x:v>
      </x:c>
      <x:c r="B56" s="27" t="str">
        <x:v>Dan First Class</x:v>
      </x:c>
      <x:c r="C56" s="27" t="str">
        <x:v>firstclassagency_dan@outlook.com</x:v>
      </x:c>
      <x:c r="D56" s="37" t="n">
        <x:v>3717</x:v>
      </x:c>
      <x:c r="E56" s="39" t="n">
        <x:v>14</x:v>
      </x:c>
      <x:c r="F56" s="41" t="n">
        <x:v>6</x:v>
      </x:c>
      <x:c r="G56" s="43" t="n">
        <x:v>100000</x:v>
      </x:c>
      <x:c r="H56" s="31"/>
      <x:c r="I56" s="45" t="str">
        <x:f>IFERROR(VLOOKUP(H56,'Activity Levels'!$A$5:$C$9,2,FALSE),"")</x:f>
      </x:c>
      <x:c r="J56" s="54" t="str">
        <x:f>IFERROR(VLOOKUP(H56,'Activity Levels'!$A$5:$C$9,3,FALSE),"")</x:f>
      </x:c>
    </x:row>
    <x:row r="57" ht="20" customHeight="1">
      <x:c r="A57" s="53" t="str">
        <x:v>mj.bx07</x:v>
      </x:c>
      <x:c r="B57" s="27" t="str">
        <x:v>Dan First Class</x:v>
      </x:c>
      <x:c r="C57" s="27" t="str">
        <x:v>firstclassagency_dan@outlook.com</x:v>
      </x:c>
      <x:c r="D57" s="37" t="n">
        <x:v>3647</x:v>
      </x:c>
      <x:c r="E57" s="39" t="n">
        <x:v>3</x:v>
      </x:c>
      <x:c r="F57" s="41" t="n">
        <x:v>1</x:v>
      </x:c>
      <x:c r="G57" s="43" t="n">
        <x:v>100000</x:v>
      </x:c>
      <x:c r="H57" s="31"/>
      <x:c r="I57" s="45" t="str">
        <x:f>IFERROR(VLOOKUP(H57,'Activity Levels'!$A$5:$C$9,2,FALSE),"")</x:f>
      </x:c>
      <x:c r="J57" s="54" t="str">
        <x:f>IFERROR(VLOOKUP(H57,'Activity Levels'!$A$5:$C$9,3,FALSE),"")</x:f>
      </x:c>
    </x:row>
    <x:row r="58" ht="20" customHeight="1">
      <x:c r="A58" s="53" t="str">
        <x:v>xx..s_xx</x:v>
      </x:c>
      <x:c r="B58" s="27" t="str">
        <x:v>Dan First Class</x:v>
      </x:c>
      <x:c r="C58" s="27" t="str">
        <x:v>firstclassagency_dan@outlook.com</x:v>
      </x:c>
      <x:c r="D58" s="37" t="n">
        <x:v>2553</x:v>
      </x:c>
      <x:c r="E58" s="39" t="n">
        <x:v>9</x:v>
      </x:c>
      <x:c r="F58" s="41" t="n">
        <x:v>4</x:v>
      </x:c>
      <x:c r="G58" s="43" t="n">
        <x:v>100000</x:v>
      </x:c>
      <x:c r="H58" s="31"/>
      <x:c r="I58" s="45" t="str">
        <x:f>IFERROR(VLOOKUP(H58,'Activity Levels'!$A$5:$C$9,2,FALSE),"")</x:f>
      </x:c>
      <x:c r="J58" s="54" t="str">
        <x:f>IFERROR(VLOOKUP(H58,'Activity Levels'!$A$5:$C$9,3,FALSE),"")</x:f>
      </x:c>
    </x:row>
    <x:row r="59" ht="20" customHeight="1">
      <x:c r="A59" s="53" t="str">
        <x:v>h2nx4_2026</x:v>
      </x:c>
      <x:c r="B59" s="27" t="str">
        <x:v>Dan First Class</x:v>
      </x:c>
      <x:c r="C59" s="27" t="str">
        <x:v>firstclassagency_dan@outlook.com</x:v>
      </x:c>
      <x:c r="D59" s="37" t="n">
        <x:v>2377</x:v>
      </x:c>
      <x:c r="E59" s="39" t="n">
        <x:v>4</x:v>
      </x:c>
      <x:c r="F59" s="41" t="n">
        <x:v>1</x:v>
      </x:c>
      <x:c r="G59" s="43" t="n">
        <x:v>100000</x:v>
      </x:c>
      <x:c r="H59" s="31"/>
      <x:c r="I59" s="45" t="str">
        <x:f>IFERROR(VLOOKUP(H59,'Activity Levels'!$A$5:$C$9,2,FALSE),"")</x:f>
      </x:c>
      <x:c r="J59" s="54" t="str">
        <x:f>IFERROR(VLOOKUP(H59,'Activity Levels'!$A$5:$C$9,3,FALSE),"")</x:f>
      </x:c>
    </x:row>
    <x:row r="60" ht="20" customHeight="1">
      <x:c r="A60" s="53" t="str">
        <x:v>noah.j53bu</x:v>
      </x:c>
      <x:c r="B60" s="27" t="str">
        <x:v>Dan First Class</x:v>
      </x:c>
      <x:c r="C60" s="27" t="str">
        <x:v>firstclassagency_dan@outlook.com</x:v>
      </x:c>
      <x:c r="D60" s="37" t="n">
        <x:v>2221</x:v>
      </x:c>
      <x:c r="E60" s="39" t="n">
        <x:v>4</x:v>
      </x:c>
      <x:c r="F60" s="41" t="n">
        <x:v>3</x:v>
      </x:c>
      <x:c r="G60" s="43" t="n">
        <x:v>100000</x:v>
      </x:c>
      <x:c r="H60" s="31"/>
      <x:c r="I60" s="45" t="str">
        <x:f>IFERROR(VLOOKUP(H60,'Activity Levels'!$A$5:$C$9,2,FALSE),"")</x:f>
      </x:c>
      <x:c r="J60" s="54" t="str">
        <x:f>IFERROR(VLOOKUP(H60,'Activity Levels'!$A$5:$C$9,3,FALSE),"")</x:f>
      </x:c>
    </x:row>
    <x:row r="61" ht="20" customHeight="1">
      <x:c r="A61" s="53" t="str">
        <x:v>ryzzontt67</x:v>
      </x:c>
      <x:c r="B61" s="27" t="str">
        <x:v>Dan First Class</x:v>
      </x:c>
      <x:c r="C61" s="27" t="str">
        <x:v>firstclassagency_dan@outlook.com</x:v>
      </x:c>
      <x:c r="D61" s="37" t="n">
        <x:v>2077</x:v>
      </x:c>
      <x:c r="E61" s="39" t="n">
        <x:v>12</x:v>
      </x:c>
      <x:c r="F61" s="41" t="n">
        <x:v>4</x:v>
      </x:c>
      <x:c r="G61" s="43" t="n">
        <x:v>100000</x:v>
      </x:c>
      <x:c r="H61" s="31"/>
      <x:c r="I61" s="45" t="str">
        <x:f>IFERROR(VLOOKUP(H61,'Activity Levels'!$A$5:$C$9,2,FALSE),"")</x:f>
      </x:c>
      <x:c r="J61" s="54" t="str">
        <x:f>IFERROR(VLOOKUP(H61,'Activity Levels'!$A$5:$C$9,3,FALSE),"")</x:f>
      </x:c>
    </x:row>
    <x:row r="62" ht="20" customHeight="1">
      <x:c r="A62" s="53" t="str">
        <x:v>stephbacktothemic</x:v>
      </x:c>
      <x:c r="B62" s="27" t="str">
        <x:v>Dan First Class</x:v>
      </x:c>
      <x:c r="C62" s="27" t="str">
        <x:v>firstclassagency_dan@outlook.com</x:v>
      </x:c>
      <x:c r="D62" s="37" t="n">
        <x:v>1469</x:v>
      </x:c>
      <x:c r="E62" s="39" t="n">
        <x:v>4</x:v>
      </x:c>
      <x:c r="F62" s="41" t="n">
        <x:v>3</x:v>
      </x:c>
      <x:c r="G62" s="43" t="n">
        <x:v>100000</x:v>
      </x:c>
      <x:c r="H62" s="31"/>
      <x:c r="I62" s="45" t="str">
        <x:f>IFERROR(VLOOKUP(H62,'Activity Levels'!$A$5:$C$9,2,FALSE),"")</x:f>
      </x:c>
      <x:c r="J62" s="54" t="str">
        <x:f>IFERROR(VLOOKUP(H62,'Activity Levels'!$A$5:$C$9,3,FALSE),"")</x:f>
      </x:c>
    </x:row>
    <x:row r="63" ht="20" customHeight="1">
      <x:c r="A63" s="53" t="str">
        <x:v>beth.172</x:v>
      </x:c>
      <x:c r="B63" s="27" t="str">
        <x:v>Dan First Class</x:v>
      </x:c>
      <x:c r="C63" s="27" t="str">
        <x:v>firstclassagency_dan@outlook.com</x:v>
      </x:c>
      <x:c r="D63" s="37" t="n">
        <x:v>1402</x:v>
      </x:c>
      <x:c r="E63" s="39" t="n">
        <x:v>3</x:v>
      </x:c>
      <x:c r="F63" s="41" t="n">
        <x:v>2</x:v>
      </x:c>
      <x:c r="G63" s="43" t="n">
        <x:v>100000</x:v>
      </x:c>
      <x:c r="H63" s="31"/>
      <x:c r="I63" s="45" t="str">
        <x:f>IFERROR(VLOOKUP(H63,'Activity Levels'!$A$5:$C$9,2,FALSE),"")</x:f>
      </x:c>
      <x:c r="J63" s="54" t="str">
        <x:f>IFERROR(VLOOKUP(H63,'Activity Levels'!$A$5:$C$9,3,FALSE),"")</x:f>
      </x:c>
    </x:row>
    <x:row r="64" ht="20" customHeight="1">
      <x:c r="A64" s="53" t="str">
        <x:v>hs90001</x:v>
      </x:c>
      <x:c r="B64" s="27" t="str">
        <x:v>Dan First Class</x:v>
      </x:c>
      <x:c r="C64" s="27" t="str">
        <x:v>firstclassagency_dan@outlook.com</x:v>
      </x:c>
      <x:c r="D64" s="37" t="n">
        <x:v>1237</x:v>
      </x:c>
      <x:c r="E64" s="39" t="n">
        <x:v>5</x:v>
      </x:c>
      <x:c r="F64" s="41" t="n">
        <x:v>2</x:v>
      </x:c>
      <x:c r="G64" s="43" t="n">
        <x:v>100000</x:v>
      </x:c>
      <x:c r="H64" s="31"/>
      <x:c r="I64" s="45" t="str">
        <x:f>IFERROR(VLOOKUP(H64,'Activity Levels'!$A$5:$C$9,2,FALSE),"")</x:f>
      </x:c>
      <x:c r="J64" s="54" t="str">
        <x:f>IFERROR(VLOOKUP(H64,'Activity Levels'!$A$5:$C$9,3,FALSE),"")</x:f>
      </x:c>
    </x:row>
    <x:row r="65" ht="20" customHeight="1">
      <x:c r="A65" s="53" t="str">
        <x:v>uptheposh19</x:v>
      </x:c>
      <x:c r="B65" s="27" t="str">
        <x:v>Dan First Class</x:v>
      </x:c>
      <x:c r="C65" s="27" t="str">
        <x:v>firstclassagency_dan@outlook.com</x:v>
      </x:c>
      <x:c r="D65" s="37" t="n">
        <x:v>926</x:v>
      </x:c>
      <x:c r="E65" s="39" t="n">
        <x:v>1</x:v>
      </x:c>
      <x:c r="F65" s="41" t="n">
        <x:v>0</x:v>
      </x:c>
      <x:c r="G65" s="43" t="n">
        <x:v>100000</x:v>
      </x:c>
      <x:c r="H65" s="31"/>
      <x:c r="I65" s="45" t="str">
        <x:f>IFERROR(VLOOKUP(H65,'Activity Levels'!$A$5:$C$9,2,FALSE),"")</x:f>
      </x:c>
      <x:c r="J65" s="54" t="str">
        <x:f>IFERROR(VLOOKUP(H65,'Activity Levels'!$A$5:$C$9,3,FALSE),"")</x:f>
      </x:c>
    </x:row>
    <x:row r="66" ht="20" customHeight="1">
      <x:c r="A66" s="53" t="str">
        <x:v>lils_mai0</x:v>
      </x:c>
      <x:c r="B66" s="27" t="str">
        <x:v>Dan First Class</x:v>
      </x:c>
      <x:c r="C66" s="27" t="str">
        <x:v>firstclassagency_dan@outlook.com</x:v>
      </x:c>
      <x:c r="D66" s="37" t="n">
        <x:v>891</x:v>
      </x:c>
      <x:c r="E66" s="39" t="n">
        <x:v>3</x:v>
      </x:c>
      <x:c r="F66" s="41" t="n">
        <x:v>1</x:v>
      </x:c>
      <x:c r="G66" s="43" t="n">
        <x:v>100000</x:v>
      </x:c>
      <x:c r="H66" s="31"/>
      <x:c r="I66" s="45" t="str">
        <x:f>IFERROR(VLOOKUP(H66,'Activity Levels'!$A$5:$C$9,2,FALSE),"")</x:f>
      </x:c>
      <x:c r="J66" s="54" t="str">
        <x:f>IFERROR(VLOOKUP(H66,'Activity Levels'!$A$5:$C$9,3,FALSE),"")</x:f>
      </x:c>
    </x:row>
    <x:row r="67" ht="20" customHeight="1">
      <x:c r="A67" s="53" t="str">
        <x:v>81</x:v>
      </x:c>
      <x:c r="B67" s="27" t="str">
        <x:v>Dan First Class</x:v>
      </x:c>
      <x:c r="C67" s="27" t="str">
        <x:v>firstclassagency_dan@outlook.com</x:v>
      </x:c>
      <x:c r="D67" s="37" t="n">
        <x:v>700</x:v>
      </x:c>
      <x:c r="E67" s="39" t="n">
        <x:v>0</x:v>
      </x:c>
      <x:c r="F67" s="41" t="n">
        <x:v>0</x:v>
      </x:c>
      <x:c r="G67" s="43" t="n">
        <x:v>100000</x:v>
      </x:c>
      <x:c r="H67" s="31"/>
      <x:c r="I67" s="45" t="str">
        <x:f>IFERROR(VLOOKUP(H67,'Activity Levels'!$A$5:$C$9,2,FALSE),"")</x:f>
      </x:c>
      <x:c r="J67" s="54" t="str">
        <x:f>IFERROR(VLOOKUP(H67,'Activity Levels'!$A$5:$C$9,3,FALSE),"")</x:f>
      </x:c>
    </x:row>
    <x:row r="68" ht="20" customHeight="1">
      <x:c r="A68" s="53" t="str">
        <x:v>n1nate12</x:v>
      </x:c>
      <x:c r="B68" s="27" t="str">
        <x:v>Dan First Class</x:v>
      </x:c>
      <x:c r="C68" s="27" t="str">
        <x:v>firstclassagency_dan@outlook.com</x:v>
      </x:c>
      <x:c r="D68" s="37" t="n">
        <x:v>641</x:v>
      </x:c>
      <x:c r="E68" s="39" t="n">
        <x:v>0</x:v>
      </x:c>
      <x:c r="F68" s="41" t="n">
        <x:v>0</x:v>
      </x:c>
      <x:c r="G68" s="43" t="n">
        <x:v>100000</x:v>
      </x:c>
      <x:c r="H68" s="31"/>
      <x:c r="I68" s="45" t="str">
        <x:f>IFERROR(VLOOKUP(H68,'Activity Levels'!$A$5:$C$9,2,FALSE),"")</x:f>
      </x:c>
      <x:c r="J68" s="54" t="str">
        <x:f>IFERROR(VLOOKUP(H68,'Activity Levels'!$A$5:$C$9,3,FALSE),"")</x:f>
      </x:c>
    </x:row>
    <x:row r="69" ht="20" customHeight="1">
      <x:c r="A69" s="53" t="str">
        <x:v>xchloe_kirby.x</x:v>
      </x:c>
      <x:c r="B69" s="27" t="str">
        <x:v>Dan First Class</x:v>
      </x:c>
      <x:c r="C69" s="27" t="str">
        <x:v>firstclassagency_dan@outlook.com</x:v>
      </x:c>
      <x:c r="D69" s="37" t="n">
        <x:v>491</x:v>
      </x:c>
      <x:c r="E69" s="39" t="n">
        <x:v>0</x:v>
      </x:c>
      <x:c r="F69" s="41" t="n">
        <x:v>0</x:v>
      </x:c>
      <x:c r="G69" s="43" t="n">
        <x:v>100000</x:v>
      </x:c>
      <x:c r="H69" s="31"/>
      <x:c r="I69" s="45" t="str">
        <x:f>IFERROR(VLOOKUP(H69,'Activity Levels'!$A$5:$C$9,2,FALSE),"")</x:f>
      </x:c>
      <x:c r="J69" s="54" t="str">
        <x:f>IFERROR(VLOOKUP(H69,'Activity Levels'!$A$5:$C$9,3,FALSE),"")</x:f>
      </x:c>
    </x:row>
    <x:row r="70" ht="20" customHeight="1">
      <x:c r="A70" s="53" t="str">
        <x:v>2026playzz</x:v>
      </x:c>
      <x:c r="B70" s="27" t="str">
        <x:v>Dan First Class</x:v>
      </x:c>
      <x:c r="C70" s="27" t="str">
        <x:v>firstclassagency_dan@outlook.com</x:v>
      </x:c>
      <x:c r="D70" s="37" t="n">
        <x:v>351</x:v>
      </x:c>
      <x:c r="E70" s="39" t="n">
        <x:v>5</x:v>
      </x:c>
      <x:c r="F70" s="41" t="n">
        <x:v>1</x:v>
      </x:c>
      <x:c r="G70" s="43" t="n">
        <x:v>100000</x:v>
      </x:c>
      <x:c r="H70" s="31"/>
      <x:c r="I70" s="45" t="str">
        <x:f>IFERROR(VLOOKUP(H70,'Activity Levels'!$A$5:$C$9,2,FALSE),"")</x:f>
      </x:c>
      <x:c r="J70" s="54" t="str">
        <x:f>IFERROR(VLOOKUP(H70,'Activity Levels'!$A$5:$C$9,3,FALSE),"")</x:f>
      </x:c>
    </x:row>
    <x:row r="71" ht="20" customHeight="1">
      <x:c r="A71" s="53" t="str">
        <x:v>2026envy</x:v>
      </x:c>
      <x:c r="B71" s="27" t="str">
        <x:v>Dan First Class</x:v>
      </x:c>
      <x:c r="C71" s="27" t="str">
        <x:v>firstclassagency_dan@outlook.com</x:v>
      </x:c>
      <x:c r="D71" s="37" t="n">
        <x:v>60</x:v>
      </x:c>
      <x:c r="E71" s="39" t="n">
        <x:v>0</x:v>
      </x:c>
      <x:c r="F71" s="41" t="n">
        <x:v>0</x:v>
      </x:c>
      <x:c r="G71" s="43" t="n">
        <x:v>100000</x:v>
      </x:c>
      <x:c r="H71" s="31"/>
      <x:c r="I71" s="45" t="str">
        <x:f>IFERROR(VLOOKUP(H71,'Activity Levels'!$A$5:$C$9,2,FALSE),"")</x:f>
      </x:c>
      <x:c r="J71" s="54" t="str">
        <x:f>IFERROR(VLOOKUP(H71,'Activity Levels'!$A$5:$C$9,3,FALSE),"")</x:f>
      </x:c>
    </x:row>
    <x:row r="72" ht="20" customHeight="1">
      <x:c r="A72" s="53" t="str">
        <x:v>copezy_</x:v>
      </x:c>
      <x:c r="B72" s="27" t="str">
        <x:v>Dan First Class</x:v>
      </x:c>
      <x:c r="C72" s="27" t="str">
        <x:v>firstclassagency_dan@outlook.com</x:v>
      </x:c>
      <x:c r="D72" s="37" t="n">
        <x:v>0</x:v>
      </x:c>
      <x:c r="E72" s="39" t="n">
        <x:v>0</x:v>
      </x:c>
      <x:c r="F72" s="41" t="n">
        <x:v>0</x:v>
      </x:c>
      <x:c r="G72" s="43" t="n">
        <x:v>100000</x:v>
      </x:c>
      <x:c r="H72" s="31"/>
      <x:c r="I72" s="45" t="str">
        <x:f>IFERROR(VLOOKUP(H72,'Activity Levels'!$A$5:$C$9,2,FALSE),"")</x:f>
      </x:c>
      <x:c r="J72" s="54" t="str">
        <x:f>IFERROR(VLOOKUP(H72,'Activity Levels'!$A$5:$C$9,3,FALSE),"")</x:f>
      </x:c>
    </x:row>
    <x:row r="73" ht="20" customHeight="1">
      <x:c r="A73" s="53" t="str">
        <x:v>harryelllis1</x:v>
      </x:c>
      <x:c r="B73" s="27" t="str">
        <x:v>Dan First Class</x:v>
      </x:c>
      <x:c r="C73" s="27" t="str">
        <x:v>firstclassagency_dan@outlook.com</x:v>
      </x:c>
      <x:c r="D73" s="37" t="n">
        <x:v>0</x:v>
      </x:c>
      <x:c r="E73" s="39" t="n">
        <x:v>0</x:v>
      </x:c>
      <x:c r="F73" s="41" t="n">
        <x:v>0</x:v>
      </x:c>
      <x:c r="G73" s="43" t="n">
        <x:v>100000</x:v>
      </x:c>
      <x:c r="H73" s="31"/>
      <x:c r="I73" s="45" t="str">
        <x:f>IFERROR(VLOOKUP(H73,'Activity Levels'!$A$5:$C$9,2,FALSE),"")</x:f>
      </x:c>
      <x:c r="J73" s="54" t="str">
        <x:f>IFERROR(VLOOKUP(H73,'Activity Levels'!$A$5:$C$9,3,FALSE),"")</x:f>
      </x:c>
    </x:row>
    <x:row r="74" ht="20" customHeight="1">
      <x:c r="A74" s="53" t="str">
        <x:v>2026_phyco</x:v>
      </x:c>
      <x:c r="B74" s="27" t="str">
        <x:v>Dan First Class</x:v>
      </x:c>
      <x:c r="C74" s="27" t="str">
        <x:v>firstclassagency_dan@outlook.com</x:v>
      </x:c>
      <x:c r="D74" s="37" t="n">
        <x:v>0</x:v>
      </x:c>
      <x:c r="E74" s="39" t="n">
        <x:v>0</x:v>
      </x:c>
      <x:c r="F74" s="41" t="n">
        <x:v>0</x:v>
      </x:c>
      <x:c r="G74" s="43" t="n">
        <x:v>100000</x:v>
      </x:c>
      <x:c r="H74" s="31"/>
      <x:c r="I74" s="45" t="str">
        <x:f>IFERROR(VLOOKUP(H74,'Activity Levels'!$A$5:$C$9,2,FALSE),"")</x:f>
      </x:c>
      <x:c r="J74" s="54" t="str">
        <x:f>IFERROR(VLOOKUP(H74,'Activity Levels'!$A$5:$C$9,3,FALSE),"")</x:f>
      </x:c>
    </x:row>
    <x:row r="75" ht="20" customHeight="1">
      <x:c r="A75" s="53" t="str">
        <x:v>ben_dy318</x:v>
      </x:c>
      <x:c r="B75" s="27" t="str">
        <x:v>Dan First Class</x:v>
      </x:c>
      <x:c r="C75" s="27" t="str">
        <x:v>firstclassagency_dan@outlook.com</x:v>
      </x:c>
      <x:c r="D75" s="37" t="n">
        <x:v>0</x:v>
      </x:c>
      <x:c r="E75" s="39" t="n">
        <x:v>0</x:v>
      </x:c>
      <x:c r="F75" s="41" t="n">
        <x:v>0</x:v>
      </x:c>
      <x:c r="G75" s="43" t="n">
        <x:v>100000</x:v>
      </x:c>
      <x:c r="H75" s="31"/>
      <x:c r="I75" s="45" t="str">
        <x:f>IFERROR(VLOOKUP(H75,'Activity Levels'!$A$5:$C$9,2,FALSE),"")</x:f>
      </x:c>
      <x:c r="J75" s="54" t="str">
        <x:f>IFERROR(VLOOKUP(H75,'Activity Levels'!$A$5:$C$9,3,FALSE),"")</x:f>
      </x:c>
    </x:row>
    <x:row r="76" ht="20" customHeight="1">
      <x:c r="A76" s="55" t="str">
        <x:v>menrebuildingmen</x:v>
      </x:c>
      <x:c r="B76" s="56" t="str">
        <x:v>Dan First Class</x:v>
      </x:c>
      <x:c r="C76" s="56" t="str">
        <x:v>firstclassagency_dan@outlook.com</x:v>
      </x:c>
      <x:c r="D76" s="57" t="n">
        <x:v>0</x:v>
      </x:c>
      <x:c r="E76" s="58" t="n">
        <x:v>0</x:v>
      </x:c>
      <x:c r="F76" s="59" t="n">
        <x:v>0</x:v>
      </x:c>
      <x:c r="G76" s="60" t="n">
        <x:v>100000</x:v>
      </x:c>
      <x:c r="H76" s="61"/>
      <x:c r="I76" s="62" t="str">
        <x:f>IFERROR(VLOOKUP(H76,'Activity Levels'!$A$5:$C$9,2,FALSE),"")</x:f>
      </x:c>
      <x:c r="J76" s="63" t="str">
        <x:f>IFERROR(VLOOKUP(H76,'Activity Levels'!$A$5:$C$9,3,FALSE),"")</x:f>
      </x:c>
    </x:row>
  </x:sheetData>
  <x:mergeCells>
    <x:mergeCell ref="A1:J1"/>
    <x:mergeCell ref="A2:J2"/>
  </x:mergeCells>
  <x:dataValidations count="2">
    <x:dataValidation type="whole" operator="greaterThanOrEqual" sqref="G5:G76">
      <x:formula1>0</x:formula1>
    </x:dataValidation>
    <x:dataValidation type="list" sqref="H5:H76">
      <x:formula1>'Activity Levels'!$A$5:$A$9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95a2291e53431c"/>
  </x:tableParts>
</x:worksheet>
</file>

<file path=xl/worksheets/sheet2.xml><?xml version="1.0" encoding="utf-8"?>
<x:worksheet xmlns:x="http://schemas.openxmlformats.org/spreadsheetml/2006/main">
  <x:sheetPr>
    <x:tabColor rgb="FF6C5522"/>
  </x:sheetPr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</x:cols>
  <x:sheetData>
    <x:row r="1" ht="26" customHeight="1">
      <x:c r="A1" s="65" t="str">
        <x:v>ACTIVENESS LEVEL TARGETS</x:v>
      </x:c>
      <x:c r="B1" s="65"/>
      <x:c r="C1" s="65"/>
    </x:row>
    <x:row r="2" ht="20" customHeight="1">
      <x:c r="A2" s="66" t="str">
        <x:v>Choose a level in Creator Targets and the last two target columns will update automatically.</x:v>
      </x:c>
      <x:c r="B2" s="66"/>
      <x:c r="C2" s="66"/>
    </x:row>
    <x:row r="4">
      <x:c r="A4" s="69" t="str">
        <x:v>Activeness level</x:v>
      </x:c>
      <x:c r="B4" s="69" t="str">
        <x:v>Hours target</x:v>
      </x:c>
      <x:c r="C4" s="69" t="str">
        <x:v>Valid live days target</x:v>
      </x:c>
    </x:row>
    <x:row r="5">
      <x:c r="A5" s="74" t="n">
        <x:v>1</x:v>
      </x:c>
      <x:c r="B5" s="75" t="n">
        <x:v>20</x:v>
      </x:c>
      <x:c r="C5" s="76" t="n">
        <x:v>8</x:v>
      </x:c>
    </x:row>
    <x:row r="6">
      <x:c r="A6" s="74" t="n">
        <x:v>2</x:v>
      </x:c>
      <x:c r="B6" s="75" t="n">
        <x:v>30</x:v>
      </x:c>
      <x:c r="C6" s="76" t="n">
        <x:v>11</x:v>
      </x:c>
    </x:row>
    <x:row r="7">
      <x:c r="A7" s="74" t="n">
        <x:v>3</x:v>
      </x:c>
      <x:c r="B7" s="75" t="n">
        <x:v>40</x:v>
      </x:c>
      <x:c r="C7" s="76" t="n">
        <x:v>15</x:v>
      </x:c>
    </x:row>
    <x:row r="8">
      <x:c r="A8" s="74" t="n">
        <x:v>4</x:v>
      </x:c>
      <x:c r="B8" s="75" t="n">
        <x:v>60</x:v>
      </x:c>
      <x:c r="C8" s="76" t="n">
        <x:v>18</x:v>
      </x:c>
    </x:row>
    <x:row r="9">
      <x:c r="A9" s="74" t="n">
        <x:v>5</x:v>
      </x:c>
      <x:c r="B9" s="75" t="n">
        <x:v>80</x:v>
      </x:c>
      <x:c r="C9" s="76" t="n">
        <x:v>22</x:v>
      </x:c>
    </x:row>
  </x:sheetData>
  <x:mergeCells>
    <x:mergeCell ref="A1:C1"/>
    <x:mergeCell ref="A2:C2"/>
  </x:mergeCells>
  <x:pageMargins left="0.7" right="0.7" top="0.75" bottom="0.75" header="0.3" footer="0.3"/>
</x:worksheet>
</file>